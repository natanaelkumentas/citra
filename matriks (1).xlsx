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6TI7\Pengolahan Citra\"/>
    </mc:Choice>
  </mc:AlternateContent>
  <xr:revisionPtr revIDLastSave="0" documentId="8_{4A1B745E-C904-498A-BA55-C9F276056EE6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Matriks Rand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2" i="1"/>
  <c r="N2" i="1"/>
  <c r="P3" i="1" a="1"/>
  <c r="P3" i="1" s="1"/>
  <c r="P2" i="1" a="1"/>
  <c r="P2" i="1" s="1"/>
  <c r="L2" i="1" a="1"/>
  <c r="L2" i="1" s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2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P4" i="1" l="1" a="1"/>
  <c r="P4" i="1" s="1"/>
  <c r="M2" i="1"/>
  <c r="P5" i="1" l="1" a="1"/>
  <c r="P5" i="1" s="1"/>
  <c r="L3" i="1" a="1"/>
  <c r="L3" i="1" s="1"/>
  <c r="P6" i="1" l="1" a="1"/>
  <c r="P6" i="1" s="1"/>
  <c r="P7" i="1" a="1"/>
  <c r="P7" i="1" s="1"/>
  <c r="L4" i="1" a="1"/>
  <c r="L4" i="1" s="1"/>
  <c r="M4" i="1" s="1"/>
  <c r="N4" i="1" s="1"/>
  <c r="M3" i="1"/>
  <c r="N3" i="1" s="1"/>
  <c r="P8" i="1" l="1" a="1"/>
  <c r="P8" i="1" s="1"/>
  <c r="L5" i="1" a="1"/>
  <c r="L5" i="1" s="1"/>
  <c r="P9" i="1" l="1" a="1"/>
  <c r="P9" i="1" s="1"/>
  <c r="L6" i="1" a="1"/>
  <c r="L6" i="1" s="1"/>
  <c r="M5" i="1"/>
  <c r="N5" i="1" s="1"/>
  <c r="P10" i="1" l="1" a="1"/>
  <c r="P10" i="1" s="1"/>
  <c r="P11" i="1" a="1"/>
  <c r="P11" i="1" s="1"/>
  <c r="P12" i="1" s="1" a="1"/>
  <c r="P12" i="1" s="1"/>
  <c r="P13" i="1" s="1" a="1"/>
  <c r="P13" i="1" s="1"/>
  <c r="L7" i="1" a="1"/>
  <c r="L7" i="1" s="1"/>
  <c r="M7" i="1" s="1"/>
  <c r="N7" i="1" s="1"/>
  <c r="M6" i="1"/>
  <c r="N6" i="1" s="1"/>
  <c r="P14" i="1" l="1" a="1"/>
  <c r="P14" i="1" s="1"/>
  <c r="P15" i="1" s="1" a="1"/>
  <c r="P15" i="1" s="1"/>
  <c r="P16" i="1" s="1" a="1"/>
  <c r="P16" i="1" s="1"/>
  <c r="P17" i="1" s="1" a="1"/>
  <c r="P17" i="1" s="1"/>
  <c r="P18" i="1" s="1" a="1"/>
  <c r="P18" i="1" s="1"/>
  <c r="P19" i="1" s="1" a="1"/>
  <c r="P19" i="1" s="1"/>
  <c r="P20" i="1" s="1" a="1"/>
  <c r="P20" i="1" s="1"/>
  <c r="P21" i="1" s="1" a="1"/>
  <c r="P21" i="1" s="1"/>
  <c r="P22" i="1" s="1" a="1"/>
  <c r="P22" i="1" s="1"/>
  <c r="P23" i="1" s="1" a="1"/>
  <c r="P23" i="1" s="1"/>
  <c r="P24" i="1" s="1" a="1"/>
  <c r="P24" i="1" s="1"/>
  <c r="P25" i="1" s="1" a="1"/>
  <c r="P25" i="1" s="1"/>
  <c r="P26" i="1" s="1" a="1"/>
  <c r="P26" i="1" s="1"/>
  <c r="P27" i="1" s="1" a="1"/>
  <c r="P27" i="1" s="1"/>
  <c r="P28" i="1" s="1" a="1"/>
  <c r="P28" i="1" s="1"/>
  <c r="P29" i="1" s="1" a="1"/>
  <c r="P29" i="1" s="1"/>
  <c r="P30" i="1" s="1" a="1"/>
  <c r="P30" i="1" s="1"/>
  <c r="P31" i="1" s="1" a="1"/>
  <c r="P31" i="1" s="1"/>
  <c r="P32" i="1" s="1" a="1"/>
  <c r="P32" i="1" s="1"/>
  <c r="P33" i="1" s="1" a="1"/>
  <c r="P33" i="1" s="1"/>
  <c r="P34" i="1" s="1" a="1"/>
  <c r="P34" i="1" s="1"/>
  <c r="P35" i="1" s="1" a="1"/>
  <c r="P35" i="1" s="1"/>
  <c r="P36" i="1" s="1" a="1"/>
  <c r="P36" i="1" s="1"/>
  <c r="P37" i="1" s="1" a="1"/>
  <c r="P37" i="1" s="1"/>
  <c r="P38" i="1" s="1" a="1"/>
  <c r="P38" i="1" s="1"/>
  <c r="P39" i="1" s="1" a="1"/>
  <c r="P39" i="1" s="1"/>
  <c r="P40" i="1" s="1" a="1"/>
  <c r="P40" i="1" s="1"/>
  <c r="P41" i="1" s="1" a="1"/>
  <c r="P41" i="1" s="1"/>
  <c r="P42" i="1" s="1" a="1"/>
  <c r="P42" i="1" s="1"/>
  <c r="P43" i="1" s="1" a="1"/>
  <c r="P43" i="1" s="1"/>
  <c r="P44" i="1" s="1" a="1"/>
  <c r="P44" i="1" s="1"/>
  <c r="P45" i="1" s="1" a="1"/>
  <c r="P45" i="1" s="1"/>
  <c r="P46" i="1" s="1" a="1"/>
  <c r="P46" i="1" s="1"/>
  <c r="P47" i="1" s="1" a="1"/>
  <c r="P47" i="1" s="1"/>
  <c r="P48" i="1" s="1" a="1"/>
  <c r="P48" i="1" s="1"/>
  <c r="P49" i="1" s="1" a="1"/>
  <c r="P49" i="1" s="1"/>
  <c r="P50" i="1" s="1" a="1"/>
  <c r="P50" i="1" s="1"/>
  <c r="P51" i="1" s="1" a="1"/>
  <c r="P51" i="1" s="1"/>
  <c r="P52" i="1" s="1" a="1"/>
  <c r="P52" i="1" s="1"/>
  <c r="P53" i="1" s="1" a="1"/>
  <c r="P53" i="1" s="1"/>
  <c r="L8" i="1" a="1"/>
  <c r="L8" i="1" s="1"/>
  <c r="L9" i="1" l="1" a="1"/>
  <c r="L9" i="1" s="1"/>
  <c r="L10" i="1" s="1" a="1"/>
  <c r="L10" i="1" s="1"/>
  <c r="M8" i="1"/>
  <c r="N8" i="1" s="1"/>
  <c r="M9" i="1" l="1"/>
  <c r="N9" i="1" s="1"/>
  <c r="L11" i="1" a="1"/>
  <c r="L11" i="1" s="1"/>
  <c r="M10" i="1"/>
  <c r="N10" i="1" s="1"/>
  <c r="M11" i="1" l="1"/>
  <c r="N11" i="1" s="1"/>
  <c r="L12" i="1" a="1"/>
  <c r="L12" i="1" s="1"/>
  <c r="M12" i="1" l="1"/>
  <c r="N12" i="1" s="1"/>
  <c r="L13" i="1" a="1"/>
  <c r="L13" i="1" s="1"/>
  <c r="L14" i="1" s="1" a="1"/>
  <c r="L14" i="1" s="1"/>
  <c r="M14" i="1" l="1"/>
  <c r="N14" i="1" s="1"/>
  <c r="M13" i="1"/>
  <c r="N13" i="1" s="1"/>
  <c r="L15" i="1" a="1"/>
  <c r="L15" i="1" s="1"/>
  <c r="M15" i="1" l="1"/>
  <c r="N15" i="1" s="1"/>
  <c r="L16" i="1" a="1"/>
  <c r="L16" i="1" s="1"/>
  <c r="L17" i="1" l="1" a="1"/>
  <c r="L17" i="1" s="1"/>
  <c r="M16" i="1"/>
  <c r="N16" i="1" s="1"/>
  <c r="L18" i="1" l="1" a="1"/>
  <c r="L18" i="1" s="1"/>
  <c r="M17" i="1"/>
  <c r="N17" i="1" s="1"/>
  <c r="L19" i="1" l="1" a="1"/>
  <c r="L19" i="1" s="1"/>
  <c r="M18" i="1"/>
  <c r="N18" i="1" s="1"/>
  <c r="L20" i="1" l="1" a="1"/>
  <c r="L20" i="1" s="1"/>
  <c r="M19" i="1"/>
  <c r="N19" i="1" s="1"/>
  <c r="L21" i="1" l="1" a="1"/>
  <c r="L21" i="1" s="1"/>
  <c r="M20" i="1"/>
  <c r="N20" i="1" s="1"/>
  <c r="L22" i="1" l="1" a="1"/>
  <c r="L22" i="1" s="1"/>
  <c r="M21" i="1"/>
  <c r="N21" i="1" s="1"/>
  <c r="L23" i="1" l="1" a="1"/>
  <c r="L23" i="1" s="1"/>
  <c r="M22" i="1"/>
  <c r="N22" i="1" s="1"/>
  <c r="L24" i="1" l="1" a="1"/>
  <c r="L24" i="1" s="1"/>
  <c r="M23" i="1"/>
  <c r="N23" i="1" s="1"/>
  <c r="L25" i="1" l="1" a="1"/>
  <c r="L25" i="1" s="1"/>
  <c r="M24" i="1"/>
  <c r="N24" i="1" s="1"/>
  <c r="L26" i="1" l="1" a="1"/>
  <c r="L26" i="1" s="1"/>
  <c r="M25" i="1"/>
  <c r="N25" i="1" s="1"/>
  <c r="L27" i="1" l="1" a="1"/>
  <c r="L27" i="1" s="1"/>
  <c r="M26" i="1"/>
  <c r="N26" i="1" s="1"/>
  <c r="L28" i="1" l="1" a="1"/>
  <c r="L28" i="1" s="1"/>
  <c r="M27" i="1"/>
  <c r="N27" i="1" s="1"/>
  <c r="L29" i="1" l="1" a="1"/>
  <c r="L29" i="1" s="1"/>
  <c r="M28" i="1"/>
  <c r="N28" i="1" s="1"/>
  <c r="L30" i="1" l="1" a="1"/>
  <c r="L30" i="1" s="1"/>
  <c r="M29" i="1"/>
  <c r="N29" i="1" s="1"/>
  <c r="L31" i="1" l="1" a="1"/>
  <c r="L31" i="1" s="1"/>
  <c r="M30" i="1"/>
  <c r="N30" i="1" s="1"/>
  <c r="L32" i="1" l="1" a="1"/>
  <c r="L32" i="1" s="1"/>
  <c r="M31" i="1"/>
  <c r="N31" i="1" s="1"/>
  <c r="L33" i="1" l="1" a="1"/>
  <c r="L33" i="1" s="1"/>
  <c r="M32" i="1"/>
  <c r="N32" i="1" s="1"/>
  <c r="L34" i="1" l="1" a="1"/>
  <c r="L34" i="1" s="1"/>
  <c r="M33" i="1"/>
  <c r="N33" i="1" s="1"/>
  <c r="L35" i="1" l="1" a="1"/>
  <c r="L35" i="1" s="1"/>
  <c r="M34" i="1"/>
  <c r="N34" i="1" s="1"/>
  <c r="L36" i="1" l="1" a="1"/>
  <c r="L36" i="1" s="1"/>
  <c r="M35" i="1"/>
  <c r="N35" i="1" s="1"/>
  <c r="L37" i="1" l="1" a="1"/>
  <c r="L37" i="1" s="1"/>
  <c r="M36" i="1"/>
  <c r="N36" i="1" s="1"/>
  <c r="L38" i="1" l="1" a="1"/>
  <c r="L38" i="1" s="1"/>
  <c r="M37" i="1"/>
  <c r="N37" i="1" s="1"/>
  <c r="L39" i="1" l="1" a="1"/>
  <c r="L39" i="1" s="1"/>
  <c r="M38" i="1"/>
  <c r="N38" i="1" s="1"/>
  <c r="L40" i="1" l="1" a="1"/>
  <c r="L40" i="1" s="1"/>
  <c r="M39" i="1"/>
  <c r="N39" i="1" s="1"/>
  <c r="L41" i="1" l="1" a="1"/>
  <c r="L41" i="1" s="1"/>
  <c r="M40" i="1"/>
  <c r="N40" i="1" s="1"/>
  <c r="L42" i="1" l="1" a="1"/>
  <c r="L42" i="1" s="1"/>
  <c r="M41" i="1"/>
  <c r="N41" i="1" s="1"/>
  <c r="L43" i="1" l="1" a="1"/>
  <c r="L43" i="1" s="1"/>
  <c r="M42" i="1"/>
  <c r="N42" i="1" s="1"/>
  <c r="L44" i="1" l="1" a="1"/>
  <c r="L44" i="1" s="1"/>
  <c r="M43" i="1"/>
  <c r="N43" i="1" s="1"/>
  <c r="L45" i="1" l="1" a="1"/>
  <c r="L45" i="1" s="1"/>
  <c r="M44" i="1"/>
  <c r="N44" i="1" s="1"/>
  <c r="L46" i="1" l="1" a="1"/>
  <c r="L46" i="1" s="1"/>
  <c r="M45" i="1"/>
  <c r="N45" i="1" s="1"/>
  <c r="L47" i="1" l="1" a="1"/>
  <c r="L47" i="1" s="1"/>
  <c r="M46" i="1"/>
  <c r="N46" i="1" s="1"/>
  <c r="L48" i="1" l="1" a="1"/>
  <c r="L48" i="1" s="1"/>
  <c r="M47" i="1"/>
  <c r="N47" i="1" s="1"/>
  <c r="L49" i="1" l="1" a="1"/>
  <c r="L49" i="1" s="1"/>
  <c r="M48" i="1"/>
  <c r="N48" i="1" s="1"/>
  <c r="L50" i="1" l="1" a="1"/>
  <c r="L50" i="1" s="1"/>
  <c r="M49" i="1"/>
  <c r="N49" i="1" s="1"/>
  <c r="L51" i="1" l="1" a="1"/>
  <c r="L51" i="1" s="1"/>
  <c r="M50" i="1"/>
  <c r="N50" i="1" s="1"/>
  <c r="L52" i="1" l="1" a="1"/>
  <c r="L52" i="1" s="1"/>
  <c r="M51" i="1"/>
  <c r="N51" i="1" s="1"/>
  <c r="L53" i="1" l="1" a="1"/>
  <c r="L53" i="1" s="1"/>
  <c r="M53" i="1" s="1"/>
  <c r="N53" i="1" s="1"/>
  <c r="M52" i="1"/>
  <c r="N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<sst xmlns="http://schemas.openxmlformats.org/spreadsheetml/2006/main" count="5" uniqueCount="3">
  <si>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i</t>
  </si>
  <si>
    <t>n_i</t>
  </si>
  <si>
    <t>h_i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</si>
</sst>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'Matriks Random'!$Q$1</c:f>
              <c:strCache>
                <c:ptCount val="1"/>
                <c:pt idx="0">
                  <c:v>h_i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'Matriks Random'!$P$2:$P$53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39</c:v>
                </c:pt>
                <c:pt idx="34">
                  <c:v>40</c:v>
                </c:pt>
                <c:pt idx="35">
                  <c:v>42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62</c:v>
                </c:pt>
                <c:pt idx="51">
                  <c:v>63</c:v>
                </c:pt>
              </c:numCache>
            </c:numRef>
          </c:xVal>
          <c:yVal>
            <c:numRef>
              <c:f>'Matriks Random'!$Q$2:$Q$53</c:f>
              <c:numCache>
                <c:formatCode>#\ ???/???</c:formatCode>
                <c:ptCount val="52"/>
                <c:pt idx="0">
                  <c:v>0.02</c:v>
                </c:pt>
                <c:pt idx="1">
                  <c:v>0.02</c:v>
                </c:pt>
                <c:pt idx="2">
                  <c:v>0.01</c:v>
                </c:pt>
                <c:pt idx="3">
                  <c:v>0.02</c:v>
                </c:pt>
                <c:pt idx="4">
                  <c:v>0.02</c:v>
                </c:pt>
                <c:pt idx="5">
                  <c:v>0.01</c:v>
                </c:pt>
                <c:pt idx="6">
                  <c:v>0.02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0.01</c:v>
                </c:pt>
                <c:pt idx="12">
                  <c:v>0.02</c:v>
                </c:pt>
                <c:pt idx="13">
                  <c:v>0.01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0.05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0.03</c:v>
                </c:pt>
                <c:pt idx="25">
                  <c:v>0.01</c:v>
                </c:pt>
                <c:pt idx="26">
                  <c:v>0.02</c:v>
                </c:pt>
                <c:pt idx="27">
                  <c:v>0.04</c:v>
                </c:pt>
                <c:pt idx="28">
                  <c:v>0.02</c:v>
                </c:pt>
                <c:pt idx="29">
                  <c:v>0.03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0.02</c:v>
                </c:pt>
                <c:pt idx="34">
                  <c:v>0.01</c:v>
                </c:pt>
                <c:pt idx="35">
                  <c:v>0.03</c:v>
                </c:pt>
                <c:pt idx="36">
                  <c:v>0.02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0.06</c:v>
                </c:pt>
                <c:pt idx="41">
                  <c:v>0.03</c:v>
                </c:pt>
                <c:pt idx="42">
                  <c:v>0.03</c:v>
                </c:pt>
                <c:pt idx="43">
                  <c:v>0.02</c:v>
                </c:pt>
                <c:pt idx="44">
                  <c:v>0.01</c:v>
                </c:pt>
                <c:pt idx="45">
                  <c:v>0.01</c:v>
                </c:pt>
                <c:pt idx="46">
                  <c:v>0.04</c:v>
                </c:pt>
                <c:pt idx="47">
                  <c:v>0.01</c:v>
                </c:pt>
                <c:pt idx="48">
                  <c:v>0.03</c:v>
                </c:pt>
                <c:pt idx="49">
                  <c:v>0.01</c:v>
                </c:pt>
                <c:pt idx="50">
                  <c:v>0.01</c:v>
                </c:pt>
                <c:pt idx="51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7-4FED-89BB-03792C28E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79344"/>
        <c:axId val="192586064"/>
      </c:scatterChart>
      <c:valAx>
        <c:axId val="19257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6064"/>
        <c:crosses val="autoZero"/>
        <c:crossBetween val="midCat"/>
      </c:valAx>
      <c:valAx>
        <c:axId val="1925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???/???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9523</xdr:colOff>
      <xdr:row>1</xdr:row>
      <xdr:rowOff>4762</xdr:rowOff>
    </xdr:from>
    <xdr:to>
      <xdr:col>28</xdr:col>
      <xdr:colOff>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2E652B-24D2-0498-98FD-CAD6F8278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5"/>
  <sheetViews>
    <sheetView tabSelected="1" topLeftCell="F1" workbookViewId="0">
      <selection activeCell="AC21" sqref="AC21"/>
    </sheetView>
  </sheetViews>
  <sheetFormatPr defaultRowHeight="15" x14ac:dyDescent="0.25"/>
  <cols>
    <col min="1" max="1" width="9.140625" style="2" customWidth="1"/>
    <col min="2" max="16" width="9.140625" style="2"/>
    <col min="17" max="17" width="9.140625" style="3"/>
    <col min="18" max="16384" width="9.140625" style="2"/>
  </cols>
  <sheetData>
    <row r="1" spans="1:54" x14ac:dyDescent="0.25">
      <c r="A1" s="1">
        <v>33</v>
      </c>
      <c r="B1" s="1">
        <v>51</v>
      </c>
      <c r="C1" s="1">
        <v>48</v>
      </c>
      <c r="D1" s="1">
        <v>28</v>
      </c>
      <c r="E1" s="1">
        <v>0</v>
      </c>
      <c r="F1" s="1">
        <v>49</v>
      </c>
      <c r="G1" s="1">
        <v>30</v>
      </c>
      <c r="H1" s="1">
        <v>5</v>
      </c>
      <c r="I1" s="1">
        <v>42</v>
      </c>
      <c r="J1" s="1">
        <v>49</v>
      </c>
      <c r="L1" s="2" t="s">
        <v>0</v>
      </c>
      <c r="M1" s="2" t="s">
        <v>1</v>
      </c>
      <c r="N1" s="2" t="s">
        <v>2</v>
      </c>
      <c r="P1" s="1" t="s">
        <v>0</v>
      </c>
      <c r="Q1" s="4" t="s">
        <v>2</v>
      </c>
    </row>
    <row r="2" spans="1:54" x14ac:dyDescent="0.25">
      <c r="A2" s="1">
        <v>27</v>
      </c>
      <c r="B2" s="1">
        <v>36</v>
      </c>
      <c r="C2" s="1">
        <v>56</v>
      </c>
      <c r="D2" s="1">
        <v>29</v>
      </c>
      <c r="E2" s="1">
        <v>50</v>
      </c>
      <c r="F2" s="1">
        <v>4</v>
      </c>
      <c r="G2" s="1">
        <v>17</v>
      </c>
      <c r="H2" s="1">
        <v>22</v>
      </c>
      <c r="I2" s="1">
        <v>56</v>
      </c>
      <c r="J2" s="1">
        <v>15</v>
      </c>
      <c r="L2" s="2" cm="1">
        <f t="array" ref="L2">IFERROR(INDEX($BB$2:$BB$101, MATCH(0, COUNTIF($L$1:L1, $BB$2:$BB$101), 0)), "")</f>
        <v>0</v>
      </c>
      <c r="M2" s="2">
        <f>COUNTIF($A$1:$J$10, L2)</f>
        <v>2</v>
      </c>
      <c r="N2" s="3">
        <f>M2/100</f>
        <v>0.02</v>
      </c>
      <c r="P2" s="1" cm="1">
        <f t="array" ref="P2">IFERROR(INDEX($BB$2:$BB$101, MATCH(0, COUNTIF($P$1:P1, $BB$2:$BB$101), 0)), "")</f>
        <v>0</v>
      </c>
      <c r="Q2" s="4">
        <f>M2/100</f>
        <v>0.02</v>
      </c>
      <c r="BB2" s="2">
        <f>IFERROR(SMALL($A$1:$J$10, ROW(A1)), "")</f>
        <v>0</v>
      </c>
    </row>
    <row r="3" spans="1:54" x14ac:dyDescent="0.25">
      <c r="A3" s="1">
        <v>17</v>
      </c>
      <c r="B3" s="1">
        <v>57</v>
      </c>
      <c r="C3" s="1">
        <v>44</v>
      </c>
      <c r="D3" s="1">
        <v>16</v>
      </c>
      <c r="E3" s="1">
        <v>34</v>
      </c>
      <c r="F3" s="1">
        <v>29</v>
      </c>
      <c r="G3" s="1">
        <v>63</v>
      </c>
      <c r="H3" s="1">
        <v>20</v>
      </c>
      <c r="I3" s="1">
        <v>27</v>
      </c>
      <c r="J3" s="1">
        <v>30</v>
      </c>
      <c r="L3" s="2" cm="1">
        <f t="array" ref="L3">IFERROR(INDEX($BB$2:$BB$101, MATCH(0, COUNTIF($L$1:L2, $BB$2:$BB$101), 0)), "")</f>
        <v>1</v>
      </c>
      <c r="M3" s="2">
        <f t="shared" ref="M3:M53" si="0">COUNTIF($A$1:$J$10, L3)</f>
        <v>2</v>
      </c>
      <c r="N3" s="3">
        <f t="shared" ref="N3:N53" si="1">M3/100</f>
        <v>0.02</v>
      </c>
      <c r="P3" s="1" cm="1">
        <f t="array" ref="P3">IFERROR(INDEX($BB$2:$BB$101, MATCH(0, COUNTIF($P$1:P2, $BB$2:$BB$101), 0)), "")</f>
        <v>1</v>
      </c>
      <c r="Q3" s="4">
        <f t="shared" ref="Q3:Q53" si="2">M3/100</f>
        <v>0.02</v>
      </c>
      <c r="BB3" s="2">
        <f t="shared" ref="BB3:BB66" si="3">IFERROR(SMALL($A$1:$J$10, ROW(A2)), "")</f>
        <v>0</v>
      </c>
    </row>
    <row r="4" spans="1:54" x14ac:dyDescent="0.25">
      <c r="A4" s="1">
        <v>23</v>
      </c>
      <c r="B4" s="1">
        <v>42</v>
      </c>
      <c r="C4" s="1">
        <v>40</v>
      </c>
      <c r="D4" s="1">
        <v>19</v>
      </c>
      <c r="E4" s="1">
        <v>19</v>
      </c>
      <c r="F4" s="1">
        <v>12</v>
      </c>
      <c r="G4" s="1">
        <v>33</v>
      </c>
      <c r="H4" s="1">
        <v>50</v>
      </c>
      <c r="I4" s="1">
        <v>48</v>
      </c>
      <c r="J4" s="1">
        <v>6</v>
      </c>
      <c r="L4" s="2" cm="1">
        <f t="array" ref="L4">IFERROR(INDEX($BB$2:$BB$101, MATCH(0, COUNTIF($L$1:L3, $BB$2:$BB$101), 0)), "")</f>
        <v>2</v>
      </c>
      <c r="M4" s="2">
        <f t="shared" si="0"/>
        <v>1</v>
      </c>
      <c r="N4" s="3">
        <f t="shared" si="1"/>
        <v>0.01</v>
      </c>
      <c r="P4" s="1" cm="1">
        <f t="array" ref="P4">IFERROR(INDEX($BB$2:$BB$101, MATCH(0, COUNTIF($P$1:P3, $BB$2:$BB$101), 0)), "")</f>
        <v>2</v>
      </c>
      <c r="Q4" s="4">
        <f t="shared" si="2"/>
        <v>0.01</v>
      </c>
      <c r="BB4" s="2">
        <f t="shared" si="3"/>
        <v>1</v>
      </c>
    </row>
    <row r="5" spans="1:54" x14ac:dyDescent="0.25">
      <c r="A5" s="1">
        <v>20</v>
      </c>
      <c r="B5" s="1">
        <v>50</v>
      </c>
      <c r="C5" s="1">
        <v>6</v>
      </c>
      <c r="D5" s="1">
        <v>59</v>
      </c>
      <c r="E5" s="1">
        <v>27</v>
      </c>
      <c r="F5" s="1">
        <v>19</v>
      </c>
      <c r="G5" s="1">
        <v>47</v>
      </c>
      <c r="H5" s="1">
        <v>9</v>
      </c>
      <c r="I5" s="1">
        <v>10</v>
      </c>
      <c r="J5" s="1">
        <v>55</v>
      </c>
      <c r="L5" s="2" cm="1">
        <f t="array" ref="L5">IFERROR(INDEX($BB$2:$BB$101, MATCH(0, COUNTIF($L$1:L4, $BB$2:$BB$101), 0)), "")</f>
        <v>3</v>
      </c>
      <c r="M5" s="2">
        <f t="shared" si="0"/>
        <v>2</v>
      </c>
      <c r="N5" s="3">
        <f t="shared" si="1"/>
        <v>0.02</v>
      </c>
      <c r="P5" s="1" cm="1">
        <f t="array" ref="P5">IFERROR(INDEX($BB$2:$BB$101, MATCH(0, COUNTIF($P$1:P4, $BB$2:$BB$101), 0)), "")</f>
        <v>3</v>
      </c>
      <c r="Q5" s="4">
        <f t="shared" si="2"/>
        <v>0.02</v>
      </c>
      <c r="BB5" s="2">
        <f t="shared" si="3"/>
        <v>1</v>
      </c>
    </row>
    <row r="6" spans="1:54" x14ac:dyDescent="0.25">
      <c r="A6" s="1">
        <v>35</v>
      </c>
      <c r="B6" s="1">
        <v>25</v>
      </c>
      <c r="C6" s="1">
        <v>58</v>
      </c>
      <c r="D6" s="1">
        <v>8</v>
      </c>
      <c r="E6" s="1">
        <v>49</v>
      </c>
      <c r="F6" s="1">
        <v>4</v>
      </c>
      <c r="G6" s="1">
        <v>56</v>
      </c>
      <c r="H6" s="1">
        <v>20</v>
      </c>
      <c r="I6" s="1">
        <v>24</v>
      </c>
      <c r="J6" s="1">
        <v>39</v>
      </c>
      <c r="L6" s="2" cm="1">
        <f t="array" ref="L6">IFERROR(INDEX($BB$2:$BB$101, MATCH(0, COUNTIF($L$1:L5, $BB$2:$BB$101), 0)), "")</f>
        <v>4</v>
      </c>
      <c r="M6" s="2">
        <f t="shared" si="0"/>
        <v>2</v>
      </c>
      <c r="N6" s="3">
        <f t="shared" si="1"/>
        <v>0.02</v>
      </c>
      <c r="P6" s="1" cm="1">
        <f t="array" ref="P6">IFERROR(INDEX($BB$2:$BB$101, MATCH(0, COUNTIF($P$1:P5, $BB$2:$BB$101), 0)), "")</f>
        <v>4</v>
      </c>
      <c r="Q6" s="4">
        <f t="shared" si="2"/>
        <v>0.02</v>
      </c>
      <c r="BB6" s="2">
        <f t="shared" si="3"/>
        <v>2</v>
      </c>
    </row>
    <row r="7" spans="1:54" x14ac:dyDescent="0.25">
      <c r="A7" s="1">
        <v>52</v>
      </c>
      <c r="B7" s="1">
        <v>13</v>
      </c>
      <c r="C7" s="1">
        <v>46</v>
      </c>
      <c r="D7" s="1">
        <v>62</v>
      </c>
      <c r="E7" s="1">
        <v>3</v>
      </c>
      <c r="F7" s="1">
        <v>56</v>
      </c>
      <c r="G7" s="1">
        <v>48</v>
      </c>
      <c r="H7" s="1">
        <v>15</v>
      </c>
      <c r="I7" s="1">
        <v>39</v>
      </c>
      <c r="J7" s="1">
        <v>21</v>
      </c>
      <c r="L7" s="2" cm="1">
        <f t="array" ref="L7">IFERROR(INDEX($BB$2:$BB$101, MATCH(0, COUNTIF($L$1:L6, $BB$2:$BB$101), 0)), "")</f>
        <v>5</v>
      </c>
      <c r="M7" s="2">
        <f t="shared" si="0"/>
        <v>1</v>
      </c>
      <c r="N7" s="3">
        <f t="shared" si="1"/>
        <v>0.01</v>
      </c>
      <c r="P7" s="1" cm="1">
        <f t="array" ref="P7">IFERROR(INDEX($BB$2:$BB$101, MATCH(0, COUNTIF($P$1:P6, $BB$2:$BB$101), 0)), "")</f>
        <v>5</v>
      </c>
      <c r="Q7" s="4">
        <f t="shared" si="2"/>
        <v>0.01</v>
      </c>
      <c r="BB7" s="2">
        <f t="shared" si="3"/>
        <v>3</v>
      </c>
    </row>
    <row r="8" spans="1:54" x14ac:dyDescent="0.25">
      <c r="A8" s="1">
        <v>8</v>
      </c>
      <c r="B8" s="1">
        <v>3</v>
      </c>
      <c r="C8" s="1">
        <v>13</v>
      </c>
      <c r="D8" s="1">
        <v>33</v>
      </c>
      <c r="E8" s="1">
        <v>20</v>
      </c>
      <c r="F8" s="1">
        <v>7</v>
      </c>
      <c r="G8" s="1">
        <v>1</v>
      </c>
      <c r="H8" s="1">
        <v>20</v>
      </c>
      <c r="I8" s="1">
        <v>58</v>
      </c>
      <c r="J8" s="1">
        <v>16</v>
      </c>
      <c r="L8" s="2" cm="1">
        <f t="array" ref="L8">IFERROR(INDEX($BB$2:$BB$101, MATCH(0, COUNTIF($L$1:L7, $BB$2:$BB$101), 0)), "")</f>
        <v>6</v>
      </c>
      <c r="M8" s="2">
        <f t="shared" si="0"/>
        <v>2</v>
      </c>
      <c r="N8" s="3">
        <f t="shared" si="1"/>
        <v>0.02</v>
      </c>
      <c r="P8" s="1" cm="1">
        <f t="array" ref="P8">IFERROR(INDEX($BB$2:$BB$101, MATCH(0, COUNTIF($P$1:P7, $BB$2:$BB$101), 0)), "")</f>
        <v>6</v>
      </c>
      <c r="Q8" s="4">
        <f t="shared" si="2"/>
        <v>0.02</v>
      </c>
      <c r="BB8" s="2">
        <f t="shared" si="3"/>
        <v>3</v>
      </c>
    </row>
    <row r="9" spans="1:54" x14ac:dyDescent="0.25">
      <c r="A9" s="1">
        <v>45</v>
      </c>
      <c r="B9" s="1">
        <v>58</v>
      </c>
      <c r="C9" s="1">
        <v>36</v>
      </c>
      <c r="D9" s="1">
        <v>30</v>
      </c>
      <c r="E9" s="1">
        <v>48</v>
      </c>
      <c r="F9" s="1">
        <v>31</v>
      </c>
      <c r="G9" s="1">
        <v>1</v>
      </c>
      <c r="H9" s="1">
        <v>44</v>
      </c>
      <c r="I9" s="1">
        <v>51</v>
      </c>
      <c r="J9" s="1">
        <v>10</v>
      </c>
      <c r="L9" s="2" cm="1">
        <f t="array" ref="L9">IFERROR(INDEX($BB$2:$BB$101, MATCH(0, COUNTIF($L$1:L8, $BB$2:$BB$101), 0)), "")</f>
        <v>7</v>
      </c>
      <c r="M9" s="2">
        <f t="shared" si="0"/>
        <v>1</v>
      </c>
      <c r="N9" s="3">
        <f t="shared" si="1"/>
        <v>0.01</v>
      </c>
      <c r="P9" s="1" cm="1">
        <f t="array" ref="P9">IFERROR(INDEX($BB$2:$BB$101, MATCH(0, COUNTIF($P$1:P8, $BB$2:$BB$101), 0)), "")</f>
        <v>7</v>
      </c>
      <c r="Q9" s="4">
        <f t="shared" si="2"/>
        <v>0.01</v>
      </c>
      <c r="BB9" s="2">
        <f t="shared" si="3"/>
        <v>4</v>
      </c>
    </row>
    <row r="10" spans="1:54" x14ac:dyDescent="0.25">
      <c r="A10" s="1">
        <v>0</v>
      </c>
      <c r="B10" s="1">
        <v>63</v>
      </c>
      <c r="C10" s="1">
        <v>2</v>
      </c>
      <c r="D10" s="1">
        <v>31</v>
      </c>
      <c r="E10" s="1">
        <v>42</v>
      </c>
      <c r="F10" s="1">
        <v>48</v>
      </c>
      <c r="G10" s="1">
        <v>9</v>
      </c>
      <c r="H10" s="1">
        <v>48</v>
      </c>
      <c r="I10" s="1">
        <v>14</v>
      </c>
      <c r="J10" s="1">
        <v>30</v>
      </c>
      <c r="L10" s="2" cm="1">
        <f t="array" ref="L10">IFERROR(INDEX($BB$2:$BB$101, MATCH(0, COUNTIF($L$1:L9, $BB$2:$BB$101), 0)), "")</f>
        <v>8</v>
      </c>
      <c r="M10" s="2">
        <f t="shared" si="0"/>
        <v>2</v>
      </c>
      <c r="N10" s="3">
        <f t="shared" si="1"/>
        <v>0.02</v>
      </c>
      <c r="P10" s="1" cm="1">
        <f t="array" ref="P10">IFERROR(INDEX($BB$2:$BB$101, MATCH(0, COUNTIF($P$1:P9, $BB$2:$BB$101), 0)), "")</f>
        <v>8</v>
      </c>
      <c r="Q10" s="4">
        <f t="shared" si="2"/>
        <v>0.02</v>
      </c>
      <c r="BB10" s="2">
        <f t="shared" si="3"/>
        <v>4</v>
      </c>
    </row>
    <row r="11" spans="1:54" x14ac:dyDescent="0.25">
      <c r="L11" s="2" cm="1">
        <f t="array" ref="L11">IFERROR(INDEX($BB$2:$BB$101, MATCH(0, COUNTIF($L$1:L10, $BB$2:$BB$101), 0)), "")</f>
        <v>9</v>
      </c>
      <c r="M11" s="2">
        <f t="shared" si="0"/>
        <v>2</v>
      </c>
      <c r="N11" s="3">
        <f t="shared" si="1"/>
        <v>0.02</v>
      </c>
      <c r="P11" s="1" cm="1">
        <f t="array" ref="P11">IFERROR(INDEX($BB$2:$BB$101, MATCH(0, COUNTIF($P$1:P10, $BB$2:$BB$101), 0)), "")</f>
        <v>9</v>
      </c>
      <c r="Q11" s="4">
        <f t="shared" si="2"/>
        <v>0.02</v>
      </c>
      <c r="BB11" s="2">
        <f t="shared" si="3"/>
        <v>5</v>
      </c>
    </row>
    <row r="12" spans="1:54" x14ac:dyDescent="0.25">
      <c r="L12" s="2" cm="1">
        <f t="array" ref="L12">IFERROR(INDEX($BB$2:$BB$101, MATCH(0, COUNTIF($L$1:L11, $BB$2:$BB$101), 0)), "")</f>
        <v>10</v>
      </c>
      <c r="M12" s="2">
        <f t="shared" si="0"/>
        <v>2</v>
      </c>
      <c r="N12" s="3">
        <f t="shared" si="1"/>
        <v>0.02</v>
      </c>
      <c r="P12" s="1" cm="1">
        <f t="array" ref="P12">IFERROR(INDEX($BB$2:$BB$101, MATCH(0, COUNTIF($P$1:P11, $BB$2:$BB$101), 0)), "")</f>
        <v>10</v>
      </c>
      <c r="Q12" s="4">
        <f t="shared" si="2"/>
        <v>0.02</v>
      </c>
      <c r="BB12" s="2">
        <f t="shared" si="3"/>
        <v>6</v>
      </c>
    </row>
    <row r="13" spans="1:54" x14ac:dyDescent="0.25">
      <c r="L13" s="2" cm="1">
        <f t="array" ref="L13">IFERROR(INDEX($BB$2:$BB$101, MATCH(0, COUNTIF($L$1:L12, $BB$2:$BB$101), 0)), "")</f>
        <v>12</v>
      </c>
      <c r="M13" s="2">
        <f t="shared" si="0"/>
        <v>1</v>
      </c>
      <c r="N13" s="3">
        <f t="shared" si="1"/>
        <v>0.01</v>
      </c>
      <c r="P13" s="1" cm="1">
        <f t="array" ref="P13">IFERROR(INDEX($BB$2:$BB$101, MATCH(0, COUNTIF($P$1:P12, $BB$2:$BB$101), 0)), "")</f>
        <v>12</v>
      </c>
      <c r="Q13" s="4">
        <f t="shared" si="2"/>
        <v>0.01</v>
      </c>
      <c r="BB13" s="2">
        <f t="shared" si="3"/>
        <v>6</v>
      </c>
    </row>
    <row r="14" spans="1:54" x14ac:dyDescent="0.25">
      <c r="L14" s="2" cm="1">
        <f t="array" ref="L14">IFERROR(INDEX($BB$2:$BB$101, MATCH(0, COUNTIF($L$1:L13, $BB$2:$BB$101), 0)), "")</f>
        <v>13</v>
      </c>
      <c r="M14" s="2">
        <f t="shared" si="0"/>
        <v>2</v>
      </c>
      <c r="N14" s="3">
        <f t="shared" si="1"/>
        <v>0.02</v>
      </c>
      <c r="P14" s="1" cm="1">
        <f t="array" ref="P14">IFERROR(INDEX($BB$2:$BB$101, MATCH(0, COUNTIF($P$1:P13, $BB$2:$BB$101), 0)), "")</f>
        <v>13</v>
      </c>
      <c r="Q14" s="4">
        <f t="shared" si="2"/>
        <v>0.02</v>
      </c>
      <c r="BB14" s="2">
        <f t="shared" si="3"/>
        <v>7</v>
      </c>
    </row>
    <row r="15" spans="1:54" x14ac:dyDescent="0.25">
      <c r="L15" s="2" cm="1">
        <f t="array" ref="L15">IFERROR(INDEX($BB$2:$BB$101, MATCH(0, COUNTIF($L$1:L14, $BB$2:$BB$101), 0)), "")</f>
        <v>14</v>
      </c>
      <c r="M15" s="2">
        <f t="shared" si="0"/>
        <v>1</v>
      </c>
      <c r="N15" s="3">
        <f t="shared" si="1"/>
        <v>0.01</v>
      </c>
      <c r="P15" s="1" cm="1">
        <f t="array" ref="P15">IFERROR(INDEX($BB$2:$BB$101, MATCH(0, COUNTIF($P$1:P14, $BB$2:$BB$101), 0)), "")</f>
        <v>14</v>
      </c>
      <c r="Q15" s="4">
        <f t="shared" si="2"/>
        <v>0.01</v>
      </c>
      <c r="BB15" s="2">
        <f t="shared" si="3"/>
        <v>8</v>
      </c>
    </row>
    <row r="16" spans="1:54" x14ac:dyDescent="0.25">
      <c r="L16" s="2" cm="1">
        <f t="array" ref="L16">IFERROR(INDEX($BB$2:$BB$101, MATCH(0, COUNTIF($L$1:L15, $BB$2:$BB$101), 0)), "")</f>
        <v>15</v>
      </c>
      <c r="M16" s="2">
        <f t="shared" si="0"/>
        <v>2</v>
      </c>
      <c r="N16" s="3">
        <f t="shared" si="1"/>
        <v>0.02</v>
      </c>
      <c r="P16" s="1" cm="1">
        <f t="array" ref="P16">IFERROR(INDEX($BB$2:$BB$101, MATCH(0, COUNTIF($P$1:P15, $BB$2:$BB$101), 0)), "")</f>
        <v>15</v>
      </c>
      <c r="Q16" s="4">
        <f t="shared" si="2"/>
        <v>0.02</v>
      </c>
      <c r="BB16" s="2">
        <f t="shared" si="3"/>
        <v>8</v>
      </c>
    </row>
    <row r="17" spans="12:54" x14ac:dyDescent="0.25">
      <c r="L17" s="2" cm="1">
        <f t="array" ref="L17">IFERROR(INDEX($BB$2:$BB$101, MATCH(0, COUNTIF($L$1:L16, $BB$2:$BB$101), 0)), "")</f>
        <v>16</v>
      </c>
      <c r="M17" s="2">
        <f t="shared" si="0"/>
        <v>2</v>
      </c>
      <c r="N17" s="3">
        <f t="shared" si="1"/>
        <v>0.02</v>
      </c>
      <c r="P17" s="1" cm="1">
        <f t="array" ref="P17">IFERROR(INDEX($BB$2:$BB$101, MATCH(0, COUNTIF($P$1:P16, $BB$2:$BB$101), 0)), "")</f>
        <v>16</v>
      </c>
      <c r="Q17" s="4">
        <f t="shared" si="2"/>
        <v>0.02</v>
      </c>
      <c r="BB17" s="2">
        <f t="shared" si="3"/>
        <v>9</v>
      </c>
    </row>
    <row r="18" spans="12:54" x14ac:dyDescent="0.25">
      <c r="L18" s="2" cm="1">
        <f t="array" ref="L18">IFERROR(INDEX($BB$2:$BB$101, MATCH(0, COUNTIF($L$1:L17, $BB$2:$BB$101), 0)), "")</f>
        <v>17</v>
      </c>
      <c r="M18" s="2">
        <f t="shared" si="0"/>
        <v>2</v>
      </c>
      <c r="N18" s="3">
        <f t="shared" si="1"/>
        <v>0.02</v>
      </c>
      <c r="P18" s="1" cm="1">
        <f t="array" ref="P18">IFERROR(INDEX($BB$2:$BB$101, MATCH(0, COUNTIF($P$1:P17, $BB$2:$BB$101), 0)), "")</f>
        <v>17</v>
      </c>
      <c r="Q18" s="4">
        <f t="shared" si="2"/>
        <v>0.02</v>
      </c>
      <c r="BB18" s="2">
        <f t="shared" si="3"/>
        <v>9</v>
      </c>
    </row>
    <row r="19" spans="12:54" x14ac:dyDescent="0.25">
      <c r="L19" s="2" cm="1">
        <f t="array" ref="L19">IFERROR(INDEX($BB$2:$BB$101, MATCH(0, COUNTIF($L$1:L18, $BB$2:$BB$101), 0)), "")</f>
        <v>19</v>
      </c>
      <c r="M19" s="2">
        <f t="shared" si="0"/>
        <v>3</v>
      </c>
      <c r="N19" s="3">
        <f t="shared" si="1"/>
        <v>0.03</v>
      </c>
      <c r="P19" s="1" cm="1">
        <f t="array" ref="P19">IFERROR(INDEX($BB$2:$BB$101, MATCH(0, COUNTIF($P$1:P18, $BB$2:$BB$101), 0)), "")</f>
        <v>19</v>
      </c>
      <c r="Q19" s="4">
        <f t="shared" si="2"/>
        <v>0.03</v>
      </c>
      <c r="BB19" s="2">
        <f t="shared" si="3"/>
        <v>10</v>
      </c>
    </row>
    <row r="20" spans="12:54" x14ac:dyDescent="0.25">
      <c r="L20" s="2" cm="1">
        <f t="array" ref="L20">IFERROR(INDEX($BB$2:$BB$101, MATCH(0, COUNTIF($L$1:L19, $BB$2:$BB$101), 0)), "")</f>
        <v>20</v>
      </c>
      <c r="M20" s="2">
        <f t="shared" si="0"/>
        <v>5</v>
      </c>
      <c r="N20" s="3">
        <f t="shared" si="1"/>
        <v>0.05</v>
      </c>
      <c r="P20" s="1" cm="1">
        <f t="array" ref="P20">IFERROR(INDEX($BB$2:$BB$101, MATCH(0, COUNTIF($P$1:P19, $BB$2:$BB$101), 0)), "")</f>
        <v>20</v>
      </c>
      <c r="Q20" s="4">
        <f t="shared" si="2"/>
        <v>0.05</v>
      </c>
      <c r="BB20" s="2">
        <f t="shared" si="3"/>
        <v>10</v>
      </c>
    </row>
    <row r="21" spans="12:54" x14ac:dyDescent="0.25">
      <c r="L21" s="2" cm="1">
        <f t="array" ref="L21">IFERROR(INDEX($BB$2:$BB$101, MATCH(0, COUNTIF($L$1:L20, $BB$2:$BB$101), 0)), "")</f>
        <v>21</v>
      </c>
      <c r="M21" s="2">
        <f t="shared" si="0"/>
        <v>1</v>
      </c>
      <c r="N21" s="3">
        <f t="shared" si="1"/>
        <v>0.01</v>
      </c>
      <c r="P21" s="1" cm="1">
        <f t="array" ref="P21">IFERROR(INDEX($BB$2:$BB$101, MATCH(0, COUNTIF($P$1:P20, $BB$2:$BB$101), 0)), "")</f>
        <v>21</v>
      </c>
      <c r="Q21" s="4">
        <f t="shared" si="2"/>
        <v>0.01</v>
      </c>
      <c r="BB21" s="2">
        <f t="shared" si="3"/>
        <v>12</v>
      </c>
    </row>
    <row r="22" spans="12:54" x14ac:dyDescent="0.25">
      <c r="L22" s="2" cm="1">
        <f t="array" ref="L22">IFERROR(INDEX($BB$2:$BB$101, MATCH(0, COUNTIF($L$1:L21, $BB$2:$BB$101), 0)), "")</f>
        <v>22</v>
      </c>
      <c r="M22" s="2">
        <f t="shared" si="0"/>
        <v>1</v>
      </c>
      <c r="N22" s="3">
        <f t="shared" si="1"/>
        <v>0.01</v>
      </c>
      <c r="P22" s="1" cm="1">
        <f t="array" ref="P22">IFERROR(INDEX($BB$2:$BB$101, MATCH(0, COUNTIF($P$1:P21, $BB$2:$BB$101), 0)), "")</f>
        <v>22</v>
      </c>
      <c r="Q22" s="4">
        <f t="shared" si="2"/>
        <v>0.01</v>
      </c>
      <c r="BB22" s="2">
        <f t="shared" si="3"/>
        <v>13</v>
      </c>
    </row>
    <row r="23" spans="12:54" x14ac:dyDescent="0.25">
      <c r="L23" s="2" cm="1">
        <f t="array" ref="L23">IFERROR(INDEX($BB$2:$BB$101, MATCH(0, COUNTIF($L$1:L22, $BB$2:$BB$101), 0)), "")</f>
        <v>23</v>
      </c>
      <c r="M23" s="2">
        <f t="shared" si="0"/>
        <v>1</v>
      </c>
      <c r="N23" s="3">
        <f t="shared" si="1"/>
        <v>0.01</v>
      </c>
      <c r="P23" s="1" cm="1">
        <f t="array" ref="P23">IFERROR(INDEX($BB$2:$BB$101, MATCH(0, COUNTIF($P$1:P22, $BB$2:$BB$101), 0)), "")</f>
        <v>23</v>
      </c>
      <c r="Q23" s="4">
        <f t="shared" si="2"/>
        <v>0.01</v>
      </c>
      <c r="BB23" s="2">
        <f t="shared" si="3"/>
        <v>13</v>
      </c>
    </row>
    <row r="24" spans="12:54" x14ac:dyDescent="0.25">
      <c r="L24" s="2" cm="1">
        <f t="array" ref="L24">IFERROR(INDEX($BB$2:$BB$101, MATCH(0, COUNTIF($L$1:L23, $BB$2:$BB$101), 0)), "")</f>
        <v>24</v>
      </c>
      <c r="M24" s="2">
        <f t="shared" si="0"/>
        <v>1</v>
      </c>
      <c r="N24" s="3">
        <f t="shared" si="1"/>
        <v>0.01</v>
      </c>
      <c r="P24" s="1" cm="1">
        <f t="array" ref="P24">IFERROR(INDEX($BB$2:$BB$101, MATCH(0, COUNTIF($P$1:P23, $BB$2:$BB$101), 0)), "")</f>
        <v>24</v>
      </c>
      <c r="Q24" s="4">
        <f t="shared" si="2"/>
        <v>0.01</v>
      </c>
      <c r="BB24" s="2">
        <f t="shared" si="3"/>
        <v>14</v>
      </c>
    </row>
    <row r="25" spans="12:54" x14ac:dyDescent="0.25">
      <c r="L25" s="2" cm="1">
        <f t="array" ref="L25">IFERROR(INDEX($BB$2:$BB$101, MATCH(0, COUNTIF($L$1:L24, $BB$2:$BB$101), 0)), "")</f>
        <v>25</v>
      </c>
      <c r="M25" s="2">
        <f t="shared" si="0"/>
        <v>1</v>
      </c>
      <c r="N25" s="3">
        <f t="shared" si="1"/>
        <v>0.01</v>
      </c>
      <c r="P25" s="1" cm="1">
        <f t="array" ref="P25">IFERROR(INDEX($BB$2:$BB$101, MATCH(0, COUNTIF($P$1:P24, $BB$2:$BB$101), 0)), "")</f>
        <v>25</v>
      </c>
      <c r="Q25" s="4">
        <f t="shared" si="2"/>
        <v>0.01</v>
      </c>
      <c r="BB25" s="2">
        <f t="shared" si="3"/>
        <v>15</v>
      </c>
    </row>
    <row r="26" spans="12:54" x14ac:dyDescent="0.25">
      <c r="L26" s="2" cm="1">
        <f t="array" ref="L26">IFERROR(INDEX($BB$2:$BB$101, MATCH(0, COUNTIF($L$1:L25, $BB$2:$BB$101), 0)), "")</f>
        <v>27</v>
      </c>
      <c r="M26" s="2">
        <f t="shared" si="0"/>
        <v>3</v>
      </c>
      <c r="N26" s="3">
        <f t="shared" si="1"/>
        <v>0.03</v>
      </c>
      <c r="P26" s="1" cm="1">
        <f t="array" ref="P26">IFERROR(INDEX($BB$2:$BB$101, MATCH(0, COUNTIF($P$1:P25, $BB$2:$BB$101), 0)), "")</f>
        <v>27</v>
      </c>
      <c r="Q26" s="4">
        <f t="shared" si="2"/>
        <v>0.03</v>
      </c>
      <c r="BB26" s="2">
        <f t="shared" si="3"/>
        <v>15</v>
      </c>
    </row>
    <row r="27" spans="12:54" x14ac:dyDescent="0.25">
      <c r="L27" s="2" cm="1">
        <f t="array" ref="L27">IFERROR(INDEX($BB$2:$BB$101, MATCH(0, COUNTIF($L$1:L26, $BB$2:$BB$101), 0)), "")</f>
        <v>28</v>
      </c>
      <c r="M27" s="2">
        <f t="shared" si="0"/>
        <v>1</v>
      </c>
      <c r="N27" s="3">
        <f t="shared" si="1"/>
        <v>0.01</v>
      </c>
      <c r="P27" s="1" cm="1">
        <f t="array" ref="P27">IFERROR(INDEX($BB$2:$BB$101, MATCH(0, COUNTIF($P$1:P26, $BB$2:$BB$101), 0)), "")</f>
        <v>28</v>
      </c>
      <c r="Q27" s="4">
        <f t="shared" si="2"/>
        <v>0.01</v>
      </c>
      <c r="BB27" s="2">
        <f t="shared" si="3"/>
        <v>16</v>
      </c>
    </row>
    <row r="28" spans="12:54" x14ac:dyDescent="0.25">
      <c r="L28" s="2" cm="1">
        <f t="array" ref="L28">IFERROR(INDEX($BB$2:$BB$101, MATCH(0, COUNTIF($L$1:L27, $BB$2:$BB$101), 0)), "")</f>
        <v>29</v>
      </c>
      <c r="M28" s="2">
        <f t="shared" si="0"/>
        <v>2</v>
      </c>
      <c r="N28" s="3">
        <f t="shared" si="1"/>
        <v>0.02</v>
      </c>
      <c r="P28" s="1" cm="1">
        <f t="array" ref="P28">IFERROR(INDEX($BB$2:$BB$101, MATCH(0, COUNTIF($P$1:P27, $BB$2:$BB$101), 0)), "")</f>
        <v>29</v>
      </c>
      <c r="Q28" s="4">
        <f t="shared" si="2"/>
        <v>0.02</v>
      </c>
      <c r="BB28" s="2">
        <f t="shared" si="3"/>
        <v>16</v>
      </c>
    </row>
    <row r="29" spans="12:54" x14ac:dyDescent="0.25">
      <c r="L29" s="2" cm="1">
        <f t="array" ref="L29">IFERROR(INDEX($BB$2:$BB$101, MATCH(0, COUNTIF($L$1:L28, $BB$2:$BB$101), 0)), "")</f>
        <v>30</v>
      </c>
      <c r="M29" s="2">
        <f t="shared" si="0"/>
        <v>4</v>
      </c>
      <c r="N29" s="3">
        <f t="shared" si="1"/>
        <v>0.04</v>
      </c>
      <c r="P29" s="1" cm="1">
        <f t="array" ref="P29">IFERROR(INDEX($BB$2:$BB$101, MATCH(0, COUNTIF($P$1:P28, $BB$2:$BB$101), 0)), "")</f>
        <v>30</v>
      </c>
      <c r="Q29" s="4">
        <f t="shared" si="2"/>
        <v>0.04</v>
      </c>
      <c r="BB29" s="2">
        <f t="shared" si="3"/>
        <v>17</v>
      </c>
    </row>
    <row r="30" spans="12:54" x14ac:dyDescent="0.25">
      <c r="L30" s="2" cm="1">
        <f t="array" ref="L30">IFERROR(INDEX($BB$2:$BB$101, MATCH(0, COUNTIF($L$1:L29, $BB$2:$BB$101), 0)), "")</f>
        <v>31</v>
      </c>
      <c r="M30" s="2">
        <f t="shared" si="0"/>
        <v>2</v>
      </c>
      <c r="N30" s="3">
        <f t="shared" si="1"/>
        <v>0.02</v>
      </c>
      <c r="P30" s="1" cm="1">
        <f t="array" ref="P30">IFERROR(INDEX($BB$2:$BB$101, MATCH(0, COUNTIF($P$1:P29, $BB$2:$BB$101), 0)), "")</f>
        <v>31</v>
      </c>
      <c r="Q30" s="4">
        <f t="shared" si="2"/>
        <v>0.02</v>
      </c>
      <c r="BB30" s="2">
        <f t="shared" si="3"/>
        <v>17</v>
      </c>
    </row>
    <row r="31" spans="12:54" x14ac:dyDescent="0.25">
      <c r="L31" s="2" cm="1">
        <f t="array" ref="L31">IFERROR(INDEX($BB$2:$BB$101, MATCH(0, COUNTIF($L$1:L30, $BB$2:$BB$101), 0)), "")</f>
        <v>33</v>
      </c>
      <c r="M31" s="2">
        <f t="shared" si="0"/>
        <v>3</v>
      </c>
      <c r="N31" s="3">
        <f t="shared" si="1"/>
        <v>0.03</v>
      </c>
      <c r="P31" s="1" cm="1">
        <f t="array" ref="P31">IFERROR(INDEX($BB$2:$BB$101, MATCH(0, COUNTIF($P$1:P30, $BB$2:$BB$101), 0)), "")</f>
        <v>33</v>
      </c>
      <c r="Q31" s="4">
        <f t="shared" si="2"/>
        <v>0.03</v>
      </c>
      <c r="BB31" s="2">
        <f t="shared" si="3"/>
        <v>19</v>
      </c>
    </row>
    <row r="32" spans="12:54" x14ac:dyDescent="0.25">
      <c r="L32" s="2" cm="1">
        <f t="array" ref="L32">IFERROR(INDEX($BB$2:$BB$101, MATCH(0, COUNTIF($L$1:L31, $BB$2:$BB$101), 0)), "")</f>
        <v>34</v>
      </c>
      <c r="M32" s="2">
        <f t="shared" si="0"/>
        <v>1</v>
      </c>
      <c r="N32" s="3">
        <f t="shared" si="1"/>
        <v>0.01</v>
      </c>
      <c r="P32" s="1" cm="1">
        <f t="array" ref="P32">IFERROR(INDEX($BB$2:$BB$101, MATCH(0, COUNTIF($P$1:P31, $BB$2:$BB$101), 0)), "")</f>
        <v>34</v>
      </c>
      <c r="Q32" s="4">
        <f t="shared" si="2"/>
        <v>0.01</v>
      </c>
      <c r="BB32" s="2">
        <f t="shared" si="3"/>
        <v>19</v>
      </c>
    </row>
    <row r="33" spans="12:54" x14ac:dyDescent="0.25">
      <c r="L33" s="2" cm="1">
        <f t="array" ref="L33">IFERROR(INDEX($BB$2:$BB$101, MATCH(0, COUNTIF($L$1:L32, $BB$2:$BB$101), 0)), "")</f>
        <v>35</v>
      </c>
      <c r="M33" s="2">
        <f t="shared" si="0"/>
        <v>1</v>
      </c>
      <c r="N33" s="3">
        <f t="shared" si="1"/>
        <v>0.01</v>
      </c>
      <c r="P33" s="1" cm="1">
        <f t="array" ref="P33">IFERROR(INDEX($BB$2:$BB$101, MATCH(0, COUNTIF($P$1:P32, $BB$2:$BB$101), 0)), "")</f>
        <v>35</v>
      </c>
      <c r="Q33" s="4">
        <f t="shared" si="2"/>
        <v>0.01</v>
      </c>
      <c r="BB33" s="2">
        <f t="shared" si="3"/>
        <v>19</v>
      </c>
    </row>
    <row r="34" spans="12:54" x14ac:dyDescent="0.25">
      <c r="L34" s="2" cm="1">
        <f t="array" ref="L34">IFERROR(INDEX($BB$2:$BB$101, MATCH(0, COUNTIF($L$1:L33, $BB$2:$BB$101), 0)), "")</f>
        <v>36</v>
      </c>
      <c r="M34" s="2">
        <f t="shared" si="0"/>
        <v>2</v>
      </c>
      <c r="N34" s="3">
        <f t="shared" si="1"/>
        <v>0.02</v>
      </c>
      <c r="P34" s="1" cm="1">
        <f t="array" ref="P34">IFERROR(INDEX($BB$2:$BB$101, MATCH(0, COUNTIF($P$1:P33, $BB$2:$BB$101), 0)), "")</f>
        <v>36</v>
      </c>
      <c r="Q34" s="4">
        <f t="shared" si="2"/>
        <v>0.02</v>
      </c>
      <c r="BB34" s="2">
        <f t="shared" si="3"/>
        <v>20</v>
      </c>
    </row>
    <row r="35" spans="12:54" x14ac:dyDescent="0.25">
      <c r="L35" s="2" cm="1">
        <f t="array" ref="L35">IFERROR(INDEX($BB$2:$BB$101, MATCH(0, COUNTIF($L$1:L34, $BB$2:$BB$101), 0)), "")</f>
        <v>39</v>
      </c>
      <c r="M35" s="2">
        <f t="shared" si="0"/>
        <v>2</v>
      </c>
      <c r="N35" s="3">
        <f t="shared" si="1"/>
        <v>0.02</v>
      </c>
      <c r="P35" s="1" cm="1">
        <f t="array" ref="P35">IFERROR(INDEX($BB$2:$BB$101, MATCH(0, COUNTIF($P$1:P34, $BB$2:$BB$101), 0)), "")</f>
        <v>39</v>
      </c>
      <c r="Q35" s="4">
        <f t="shared" si="2"/>
        <v>0.02</v>
      </c>
      <c r="BB35" s="2">
        <f t="shared" si="3"/>
        <v>20</v>
      </c>
    </row>
    <row r="36" spans="12:54" x14ac:dyDescent="0.25">
      <c r="L36" s="2" cm="1">
        <f t="array" ref="L36">IFERROR(INDEX($BB$2:$BB$101, MATCH(0, COUNTIF($L$1:L35, $BB$2:$BB$101), 0)), "")</f>
        <v>40</v>
      </c>
      <c r="M36" s="2">
        <f t="shared" si="0"/>
        <v>1</v>
      </c>
      <c r="N36" s="3">
        <f t="shared" si="1"/>
        <v>0.01</v>
      </c>
      <c r="P36" s="1" cm="1">
        <f t="array" ref="P36">IFERROR(INDEX($BB$2:$BB$101, MATCH(0, COUNTIF($P$1:P35, $BB$2:$BB$101), 0)), "")</f>
        <v>40</v>
      </c>
      <c r="Q36" s="4">
        <f t="shared" si="2"/>
        <v>0.01</v>
      </c>
      <c r="BB36" s="2">
        <f t="shared" si="3"/>
        <v>20</v>
      </c>
    </row>
    <row r="37" spans="12:54" x14ac:dyDescent="0.25">
      <c r="L37" s="2" cm="1">
        <f t="array" ref="L37">IFERROR(INDEX($BB$2:$BB$101, MATCH(0, COUNTIF($L$1:L36, $BB$2:$BB$101), 0)), "")</f>
        <v>42</v>
      </c>
      <c r="M37" s="2">
        <f t="shared" si="0"/>
        <v>3</v>
      </c>
      <c r="N37" s="3">
        <f t="shared" si="1"/>
        <v>0.03</v>
      </c>
      <c r="P37" s="1" cm="1">
        <f t="array" ref="P37">IFERROR(INDEX($BB$2:$BB$101, MATCH(0, COUNTIF($P$1:P36, $BB$2:$BB$101), 0)), "")</f>
        <v>42</v>
      </c>
      <c r="Q37" s="4">
        <f t="shared" si="2"/>
        <v>0.03</v>
      </c>
      <c r="BB37" s="2">
        <f t="shared" si="3"/>
        <v>20</v>
      </c>
    </row>
    <row r="38" spans="12:54" x14ac:dyDescent="0.25">
      <c r="L38" s="2" cm="1">
        <f t="array" ref="L38">IFERROR(INDEX($BB$2:$BB$101, MATCH(0, COUNTIF($L$1:L37, $BB$2:$BB$101), 0)), "")</f>
        <v>44</v>
      </c>
      <c r="M38" s="2">
        <f t="shared" si="0"/>
        <v>2</v>
      </c>
      <c r="N38" s="3">
        <f t="shared" si="1"/>
        <v>0.02</v>
      </c>
      <c r="P38" s="1" cm="1">
        <f t="array" ref="P38">IFERROR(INDEX($BB$2:$BB$101, MATCH(0, COUNTIF($P$1:P37, $BB$2:$BB$101), 0)), "")</f>
        <v>44</v>
      </c>
      <c r="Q38" s="4">
        <f t="shared" si="2"/>
        <v>0.02</v>
      </c>
      <c r="BB38" s="2">
        <f t="shared" si="3"/>
        <v>20</v>
      </c>
    </row>
    <row r="39" spans="12:54" x14ac:dyDescent="0.25">
      <c r="L39" s="2" cm="1">
        <f t="array" ref="L39">IFERROR(INDEX($BB$2:$BB$101, MATCH(0, COUNTIF($L$1:L38, $BB$2:$BB$101), 0)), "")</f>
        <v>45</v>
      </c>
      <c r="M39" s="2">
        <f t="shared" si="0"/>
        <v>1</v>
      </c>
      <c r="N39" s="3">
        <f t="shared" si="1"/>
        <v>0.01</v>
      </c>
      <c r="P39" s="1" cm="1">
        <f t="array" ref="P39">IFERROR(INDEX($BB$2:$BB$101, MATCH(0, COUNTIF($P$1:P38, $BB$2:$BB$101), 0)), "")</f>
        <v>45</v>
      </c>
      <c r="Q39" s="4">
        <f t="shared" si="2"/>
        <v>0.01</v>
      </c>
      <c r="BB39" s="2">
        <f t="shared" si="3"/>
        <v>21</v>
      </c>
    </row>
    <row r="40" spans="12:54" x14ac:dyDescent="0.25">
      <c r="L40" s="2" cm="1">
        <f t="array" ref="L40">IFERROR(INDEX($BB$2:$BB$101, MATCH(0, COUNTIF($L$1:L39, $BB$2:$BB$101), 0)), "")</f>
        <v>46</v>
      </c>
      <c r="M40" s="2">
        <f t="shared" si="0"/>
        <v>1</v>
      </c>
      <c r="N40" s="3">
        <f t="shared" si="1"/>
        <v>0.01</v>
      </c>
      <c r="P40" s="1" cm="1">
        <f t="array" ref="P40">IFERROR(INDEX($BB$2:$BB$101, MATCH(0, COUNTIF($P$1:P39, $BB$2:$BB$101), 0)), "")</f>
        <v>46</v>
      </c>
      <c r="Q40" s="4">
        <f t="shared" si="2"/>
        <v>0.01</v>
      </c>
      <c r="BB40" s="2">
        <f t="shared" si="3"/>
        <v>22</v>
      </c>
    </row>
    <row r="41" spans="12:54" x14ac:dyDescent="0.25">
      <c r="L41" s="2" cm="1">
        <f t="array" ref="L41">IFERROR(INDEX($BB$2:$BB$101, MATCH(0, COUNTIF($L$1:L40, $BB$2:$BB$101), 0)), "")</f>
        <v>47</v>
      </c>
      <c r="M41" s="2">
        <f t="shared" si="0"/>
        <v>1</v>
      </c>
      <c r="N41" s="3">
        <f t="shared" si="1"/>
        <v>0.01</v>
      </c>
      <c r="P41" s="1" cm="1">
        <f t="array" ref="P41">IFERROR(INDEX($BB$2:$BB$101, MATCH(0, COUNTIF($P$1:P40, $BB$2:$BB$101), 0)), "")</f>
        <v>47</v>
      </c>
      <c r="Q41" s="4">
        <f t="shared" si="2"/>
        <v>0.01</v>
      </c>
      <c r="BB41" s="2">
        <f t="shared" si="3"/>
        <v>23</v>
      </c>
    </row>
    <row r="42" spans="12:54" x14ac:dyDescent="0.25">
      <c r="L42" s="2" cm="1">
        <f t="array" ref="L42">IFERROR(INDEX($BB$2:$BB$101, MATCH(0, COUNTIF($L$1:L41, $BB$2:$BB$101), 0)), "")</f>
        <v>48</v>
      </c>
      <c r="M42" s="2">
        <f t="shared" si="0"/>
        <v>6</v>
      </c>
      <c r="N42" s="3">
        <f t="shared" si="1"/>
        <v>0.06</v>
      </c>
      <c r="P42" s="1" cm="1">
        <f t="array" ref="P42">IFERROR(INDEX($BB$2:$BB$101, MATCH(0, COUNTIF($P$1:P41, $BB$2:$BB$101), 0)), "")</f>
        <v>48</v>
      </c>
      <c r="Q42" s="4">
        <f t="shared" si="2"/>
        <v>0.06</v>
      </c>
      <c r="BB42" s="2">
        <f t="shared" si="3"/>
        <v>24</v>
      </c>
    </row>
    <row r="43" spans="12:54" x14ac:dyDescent="0.25">
      <c r="L43" s="2" cm="1">
        <f t="array" ref="L43">IFERROR(INDEX($BB$2:$BB$101, MATCH(0, COUNTIF($L$1:L42, $BB$2:$BB$101), 0)), "")</f>
        <v>49</v>
      </c>
      <c r="M43" s="2">
        <f t="shared" si="0"/>
        <v>3</v>
      </c>
      <c r="N43" s="3">
        <f t="shared" si="1"/>
        <v>0.03</v>
      </c>
      <c r="P43" s="1" cm="1">
        <f t="array" ref="P43">IFERROR(INDEX($BB$2:$BB$101, MATCH(0, COUNTIF($P$1:P42, $BB$2:$BB$101), 0)), "")</f>
        <v>49</v>
      </c>
      <c r="Q43" s="4">
        <f t="shared" si="2"/>
        <v>0.03</v>
      </c>
      <c r="BB43" s="2">
        <f t="shared" si="3"/>
        <v>25</v>
      </c>
    </row>
    <row r="44" spans="12:54" x14ac:dyDescent="0.25">
      <c r="L44" s="2" cm="1">
        <f t="array" ref="L44">IFERROR(INDEX($BB$2:$BB$101, MATCH(0, COUNTIF($L$1:L43, $BB$2:$BB$101), 0)), "")</f>
        <v>50</v>
      </c>
      <c r="M44" s="2">
        <f t="shared" si="0"/>
        <v>3</v>
      </c>
      <c r="N44" s="3">
        <f t="shared" si="1"/>
        <v>0.03</v>
      </c>
      <c r="P44" s="1" cm="1">
        <f t="array" ref="P44">IFERROR(INDEX($BB$2:$BB$101, MATCH(0, COUNTIF($P$1:P43, $BB$2:$BB$101), 0)), "")</f>
        <v>50</v>
      </c>
      <c r="Q44" s="4">
        <f t="shared" si="2"/>
        <v>0.03</v>
      </c>
      <c r="BB44" s="2">
        <f t="shared" si="3"/>
        <v>27</v>
      </c>
    </row>
    <row r="45" spans="12:54" x14ac:dyDescent="0.25">
      <c r="L45" s="2" cm="1">
        <f t="array" ref="L45">IFERROR(INDEX($BB$2:$BB$101, MATCH(0, COUNTIF($L$1:L44, $BB$2:$BB$101), 0)), "")</f>
        <v>51</v>
      </c>
      <c r="M45" s="2">
        <f t="shared" si="0"/>
        <v>2</v>
      </c>
      <c r="N45" s="3">
        <f t="shared" si="1"/>
        <v>0.02</v>
      </c>
      <c r="P45" s="1" cm="1">
        <f t="array" ref="P45">IFERROR(INDEX($BB$2:$BB$101, MATCH(0, COUNTIF($P$1:P44, $BB$2:$BB$101), 0)), "")</f>
        <v>51</v>
      </c>
      <c r="Q45" s="4">
        <f t="shared" si="2"/>
        <v>0.02</v>
      </c>
      <c r="BB45" s="2">
        <f t="shared" si="3"/>
        <v>27</v>
      </c>
    </row>
    <row r="46" spans="12:54" x14ac:dyDescent="0.25">
      <c r="L46" s="2" cm="1">
        <f t="array" ref="L46">IFERROR(INDEX($BB$2:$BB$101, MATCH(0, COUNTIF($L$1:L45, $BB$2:$BB$101), 0)), "")</f>
        <v>52</v>
      </c>
      <c r="M46" s="2">
        <f t="shared" si="0"/>
        <v>1</v>
      </c>
      <c r="N46" s="3">
        <f t="shared" si="1"/>
        <v>0.01</v>
      </c>
      <c r="P46" s="1" cm="1">
        <f t="array" ref="P46">IFERROR(INDEX($BB$2:$BB$101, MATCH(0, COUNTIF($P$1:P45, $BB$2:$BB$101), 0)), "")</f>
        <v>52</v>
      </c>
      <c r="Q46" s="4">
        <f t="shared" si="2"/>
        <v>0.01</v>
      </c>
      <c r="BB46" s="2">
        <f t="shared" si="3"/>
        <v>27</v>
      </c>
    </row>
    <row r="47" spans="12:54" x14ac:dyDescent="0.25">
      <c r="L47" s="2" cm="1">
        <f t="array" ref="L47">IFERROR(INDEX($BB$2:$BB$101, MATCH(0, COUNTIF($L$1:L46, $BB$2:$BB$101), 0)), "")</f>
        <v>55</v>
      </c>
      <c r="M47" s="2">
        <f t="shared" si="0"/>
        <v>1</v>
      </c>
      <c r="N47" s="3">
        <f t="shared" si="1"/>
        <v>0.01</v>
      </c>
      <c r="P47" s="1" cm="1">
        <f t="array" ref="P47">IFERROR(INDEX($BB$2:$BB$101, MATCH(0, COUNTIF($P$1:P46, $BB$2:$BB$101), 0)), "")</f>
        <v>55</v>
      </c>
      <c r="Q47" s="4">
        <f t="shared" si="2"/>
        <v>0.01</v>
      </c>
      <c r="BB47" s="2">
        <f t="shared" si="3"/>
        <v>28</v>
      </c>
    </row>
    <row r="48" spans="12:54" x14ac:dyDescent="0.25">
      <c r="L48" s="2" cm="1">
        <f t="array" ref="L48">IFERROR(INDEX($BB$2:$BB$101, MATCH(0, COUNTIF($L$1:L47, $BB$2:$BB$101), 0)), "")</f>
        <v>56</v>
      </c>
      <c r="M48" s="2">
        <f t="shared" si="0"/>
        <v>4</v>
      </c>
      <c r="N48" s="3">
        <f t="shared" si="1"/>
        <v>0.04</v>
      </c>
      <c r="P48" s="1" cm="1">
        <f t="array" ref="P48">IFERROR(INDEX($BB$2:$BB$101, MATCH(0, COUNTIF($P$1:P47, $BB$2:$BB$101), 0)), "")</f>
        <v>56</v>
      </c>
      <c r="Q48" s="4">
        <f t="shared" si="2"/>
        <v>0.04</v>
      </c>
      <c r="BB48" s="2">
        <f t="shared" si="3"/>
        <v>29</v>
      </c>
    </row>
    <row r="49" spans="12:54" x14ac:dyDescent="0.25">
      <c r="L49" s="2" cm="1">
        <f t="array" ref="L49">IFERROR(INDEX($BB$2:$BB$101, MATCH(0, COUNTIF($L$1:L48, $BB$2:$BB$101), 0)), "")</f>
        <v>57</v>
      </c>
      <c r="M49" s="2">
        <f t="shared" si="0"/>
        <v>1</v>
      </c>
      <c r="N49" s="3">
        <f t="shared" si="1"/>
        <v>0.01</v>
      </c>
      <c r="P49" s="1" cm="1">
        <f t="array" ref="P49">IFERROR(INDEX($BB$2:$BB$101, MATCH(0, COUNTIF($P$1:P48, $BB$2:$BB$101), 0)), "")</f>
        <v>57</v>
      </c>
      <c r="Q49" s="4">
        <f t="shared" si="2"/>
        <v>0.01</v>
      </c>
      <c r="BB49" s="2">
        <f t="shared" si="3"/>
        <v>29</v>
      </c>
    </row>
    <row r="50" spans="12:54" x14ac:dyDescent="0.25">
      <c r="L50" s="2" cm="1">
        <f t="array" ref="L50">IFERROR(INDEX($BB$2:$BB$101, MATCH(0, COUNTIF($L$1:L49, $BB$2:$BB$101), 0)), "")</f>
        <v>58</v>
      </c>
      <c r="M50" s="2">
        <f t="shared" si="0"/>
        <v>3</v>
      </c>
      <c r="N50" s="3">
        <f t="shared" si="1"/>
        <v>0.03</v>
      </c>
      <c r="P50" s="1" cm="1">
        <f t="array" ref="P50">IFERROR(INDEX($BB$2:$BB$101, MATCH(0, COUNTIF($P$1:P49, $BB$2:$BB$101), 0)), "")</f>
        <v>58</v>
      </c>
      <c r="Q50" s="4">
        <f t="shared" si="2"/>
        <v>0.03</v>
      </c>
      <c r="BB50" s="2">
        <f t="shared" si="3"/>
        <v>30</v>
      </c>
    </row>
    <row r="51" spans="12:54" x14ac:dyDescent="0.25">
      <c r="L51" s="2" cm="1">
        <f t="array" ref="L51">IFERROR(INDEX($BB$2:$BB$101, MATCH(0, COUNTIF($L$1:L50, $BB$2:$BB$101), 0)), "")</f>
        <v>59</v>
      </c>
      <c r="M51" s="2">
        <f t="shared" si="0"/>
        <v>1</v>
      </c>
      <c r="N51" s="3">
        <f t="shared" si="1"/>
        <v>0.01</v>
      </c>
      <c r="P51" s="1" cm="1">
        <f t="array" ref="P51">IFERROR(INDEX($BB$2:$BB$101, MATCH(0, COUNTIF($P$1:P50, $BB$2:$BB$101), 0)), "")</f>
        <v>59</v>
      </c>
      <c r="Q51" s="4">
        <f t="shared" si="2"/>
        <v>0.01</v>
      </c>
      <c r="BB51" s="2">
        <f t="shared" si="3"/>
        <v>30</v>
      </c>
    </row>
    <row r="52" spans="12:54" x14ac:dyDescent="0.25">
      <c r="L52" s="2" cm="1">
        <f t="array" ref="L52">IFERROR(INDEX($BB$2:$BB$101, MATCH(0, COUNTIF($L$1:L51, $BB$2:$BB$101), 0)), "")</f>
        <v>62</v>
      </c>
      <c r="M52" s="2">
        <f t="shared" si="0"/>
        <v>1</v>
      </c>
      <c r="N52" s="3">
        <f t="shared" si="1"/>
        <v>0.01</v>
      </c>
      <c r="P52" s="1" cm="1">
        <f t="array" ref="P52">IFERROR(INDEX($BB$2:$BB$101, MATCH(0, COUNTIF($P$1:P51, $BB$2:$BB$101), 0)), "")</f>
        <v>62</v>
      </c>
      <c r="Q52" s="4">
        <f t="shared" si="2"/>
        <v>0.01</v>
      </c>
      <c r="BB52" s="2">
        <f t="shared" si="3"/>
        <v>30</v>
      </c>
    </row>
    <row r="53" spans="12:54" x14ac:dyDescent="0.25">
      <c r="L53" s="2" cm="1">
        <f t="array" ref="L53">IFERROR(INDEX($BB$2:$BB$101, MATCH(0, COUNTIF($L$1:L52, $BB$2:$BB$101), 0)), "")</f>
        <v>63</v>
      </c>
      <c r="M53" s="2">
        <f t="shared" si="0"/>
        <v>2</v>
      </c>
      <c r="N53" s="3">
        <f t="shared" si="1"/>
        <v>0.02</v>
      </c>
      <c r="P53" s="1" cm="1">
        <f t="array" ref="P53">IFERROR(INDEX($BB$2:$BB$101, MATCH(0, COUNTIF($P$1:P52, $BB$2:$BB$101), 0)), "")</f>
        <v>63</v>
      </c>
      <c r="Q53" s="4">
        <f t="shared" si="2"/>
        <v>0.02</v>
      </c>
      <c r="BB53" s="2">
        <f t="shared" si="3"/>
        <v>30</v>
      </c>
    </row>
    <row r="54" spans="12:54" x14ac:dyDescent="0.25">
      <c r="N54" s="3"/>
      <c r="BB54" s="2">
        <f t="shared" si="3"/>
        <v>31</v>
      </c>
    </row>
    <row r="55" spans="12:54" x14ac:dyDescent="0.25">
      <c r="N55" s="3"/>
      <c r="BB55" s="2">
        <f t="shared" si="3"/>
        <v>31</v>
      </c>
    </row>
    <row r="56" spans="12:54" x14ac:dyDescent="0.25">
      <c r="N56" s="3"/>
      <c r="BB56" s="2">
        <f t="shared" si="3"/>
        <v>33</v>
      </c>
    </row>
    <row r="57" spans="12:54" x14ac:dyDescent="0.25">
      <c r="N57" s="3"/>
      <c r="BB57" s="2">
        <f t="shared" si="3"/>
        <v>33</v>
      </c>
    </row>
    <row r="58" spans="12:54" x14ac:dyDescent="0.25">
      <c r="N58" s="3"/>
      <c r="BB58" s="2">
        <f t="shared" si="3"/>
        <v>33</v>
      </c>
    </row>
    <row r="59" spans="12:54" x14ac:dyDescent="0.25">
      <c r="N59" s="3"/>
      <c r="BB59" s="2">
        <f t="shared" si="3"/>
        <v>34</v>
      </c>
    </row>
    <row r="60" spans="12:54" x14ac:dyDescent="0.25">
      <c r="N60" s="3"/>
      <c r="BB60" s="2">
        <f t="shared" si="3"/>
        <v>35</v>
      </c>
    </row>
    <row r="61" spans="12:54" x14ac:dyDescent="0.25">
      <c r="N61" s="3"/>
      <c r="BB61" s="2">
        <f t="shared" si="3"/>
        <v>36</v>
      </c>
    </row>
    <row r="62" spans="12:54" x14ac:dyDescent="0.25">
      <c r="N62" s="3"/>
      <c r="BB62" s="2">
        <f t="shared" si="3"/>
        <v>36</v>
      </c>
    </row>
    <row r="63" spans="12:54" x14ac:dyDescent="0.25">
      <c r="N63" s="3"/>
      <c r="BB63" s="2">
        <f t="shared" si="3"/>
        <v>39</v>
      </c>
    </row>
    <row r="64" spans="12:54" x14ac:dyDescent="0.25">
      <c r="N64" s="3"/>
      <c r="BB64" s="2">
        <f t="shared" si="3"/>
        <v>39</v>
      </c>
    </row>
    <row r="65" spans="14:54" x14ac:dyDescent="0.25">
      <c r="N65" s="3"/>
      <c r="BB65" s="2">
        <f t="shared" si="3"/>
        <v>40</v>
      </c>
    </row>
    <row r="66" spans="14:54" x14ac:dyDescent="0.25">
      <c r="N66" s="3"/>
      <c r="BB66" s="2">
        <f t="shared" si="3"/>
        <v>42</v>
      </c>
    </row>
    <row r="67" spans="14:54" x14ac:dyDescent="0.25">
      <c r="N67" s="3"/>
      <c r="BB67" s="2">
        <f t="shared" ref="BB67:BB130" si="4">IFERROR(SMALL($A$1:$J$10, ROW(A66)), "")</f>
        <v>42</v>
      </c>
    </row>
    <row r="68" spans="14:54" x14ac:dyDescent="0.25">
      <c r="N68" s="3"/>
      <c r="BB68" s="2">
        <f t="shared" si="4"/>
        <v>42</v>
      </c>
    </row>
    <row r="69" spans="14:54" x14ac:dyDescent="0.25">
      <c r="N69" s="3"/>
      <c r="BB69" s="2">
        <f t="shared" si="4"/>
        <v>44</v>
      </c>
    </row>
    <row r="70" spans="14:54" x14ac:dyDescent="0.25">
      <c r="N70" s="3"/>
      <c r="BB70" s="2">
        <f t="shared" si="4"/>
        <v>44</v>
      </c>
    </row>
    <row r="71" spans="14:54" x14ac:dyDescent="0.25">
      <c r="N71" s="3"/>
      <c r="BB71" s="2">
        <f t="shared" si="4"/>
        <v>45</v>
      </c>
    </row>
    <row r="72" spans="14:54" x14ac:dyDescent="0.25">
      <c r="N72" s="3"/>
      <c r="BB72" s="2">
        <f t="shared" si="4"/>
        <v>46</v>
      </c>
    </row>
    <row r="73" spans="14:54" x14ac:dyDescent="0.25">
      <c r="N73" s="3"/>
      <c r="BB73" s="2">
        <f t="shared" si="4"/>
        <v>47</v>
      </c>
    </row>
    <row r="74" spans="14:54" x14ac:dyDescent="0.25">
      <c r="N74" s="3"/>
      <c r="BB74" s="2">
        <f t="shared" si="4"/>
        <v>48</v>
      </c>
    </row>
    <row r="75" spans="14:54" x14ac:dyDescent="0.25">
      <c r="N75" s="3"/>
      <c r="BB75" s="2">
        <f t="shared" si="4"/>
        <v>48</v>
      </c>
    </row>
    <row r="76" spans="14:54" x14ac:dyDescent="0.25">
      <c r="N76" s="3"/>
      <c r="BB76" s="2">
        <f t="shared" si="4"/>
        <v>48</v>
      </c>
    </row>
    <row r="77" spans="14:54" x14ac:dyDescent="0.25">
      <c r="N77" s="3"/>
      <c r="BB77" s="2">
        <f t="shared" si="4"/>
        <v>48</v>
      </c>
    </row>
    <row r="78" spans="14:54" x14ac:dyDescent="0.25">
      <c r="N78" s="3"/>
      <c r="BB78" s="2">
        <f t="shared" si="4"/>
        <v>48</v>
      </c>
    </row>
    <row r="79" spans="14:54" x14ac:dyDescent="0.25">
      <c r="N79" s="3"/>
      <c r="BB79" s="2">
        <f t="shared" si="4"/>
        <v>48</v>
      </c>
    </row>
    <row r="80" spans="14:54" x14ac:dyDescent="0.25">
      <c r="N80" s="3"/>
      <c r="BB80" s="2">
        <f t="shared" si="4"/>
        <v>49</v>
      </c>
    </row>
    <row r="81" spans="14:54" x14ac:dyDescent="0.25">
      <c r="N81" s="3"/>
      <c r="BB81" s="2">
        <f t="shared" si="4"/>
        <v>49</v>
      </c>
    </row>
    <row r="82" spans="14:54" x14ac:dyDescent="0.25">
      <c r="N82" s="3"/>
      <c r="BB82" s="2">
        <f t="shared" si="4"/>
        <v>49</v>
      </c>
    </row>
    <row r="83" spans="14:54" x14ac:dyDescent="0.25">
      <c r="N83" s="3"/>
      <c r="BB83" s="2">
        <f t="shared" si="4"/>
        <v>50</v>
      </c>
    </row>
    <row r="84" spans="14:54" x14ac:dyDescent="0.25">
      <c r="N84" s="3"/>
      <c r="BB84" s="2">
        <f t="shared" si="4"/>
        <v>50</v>
      </c>
    </row>
    <row r="85" spans="14:54" x14ac:dyDescent="0.25">
      <c r="N85" s="3"/>
      <c r="BB85" s="2">
        <f t="shared" si="4"/>
        <v>50</v>
      </c>
    </row>
    <row r="86" spans="14:54" x14ac:dyDescent="0.25">
      <c r="N86" s="3"/>
      <c r="BB86" s="2">
        <f t="shared" si="4"/>
        <v>51</v>
      </c>
    </row>
    <row r="87" spans="14:54" x14ac:dyDescent="0.25">
      <c r="N87" s="3"/>
      <c r="BB87" s="2">
        <f t="shared" si="4"/>
        <v>51</v>
      </c>
    </row>
    <row r="88" spans="14:54" x14ac:dyDescent="0.25">
      <c r="N88" s="3"/>
      <c r="BB88" s="2">
        <f t="shared" si="4"/>
        <v>52</v>
      </c>
    </row>
    <row r="89" spans="14:54" x14ac:dyDescent="0.25">
      <c r="N89" s="3"/>
      <c r="BB89" s="2">
        <f t="shared" si="4"/>
        <v>55</v>
      </c>
    </row>
    <row r="90" spans="14:54" x14ac:dyDescent="0.25">
      <c r="N90" s="3"/>
      <c r="BB90" s="2">
        <f t="shared" si="4"/>
        <v>56</v>
      </c>
    </row>
    <row r="91" spans="14:54" x14ac:dyDescent="0.25">
      <c r="N91" s="3"/>
      <c r="BB91" s="2">
        <f t="shared" si="4"/>
        <v>56</v>
      </c>
    </row>
    <row r="92" spans="14:54" x14ac:dyDescent="0.25">
      <c r="N92" s="3"/>
      <c r="BB92" s="2">
        <f t="shared" si="4"/>
        <v>56</v>
      </c>
    </row>
    <row r="93" spans="14:54" x14ac:dyDescent="0.25">
      <c r="N93" s="3"/>
      <c r="BB93" s="2">
        <f t="shared" si="4"/>
        <v>56</v>
      </c>
    </row>
    <row r="94" spans="14:54" x14ac:dyDescent="0.25">
      <c r="N94" s="3"/>
      <c r="BB94" s="2">
        <f t="shared" si="4"/>
        <v>57</v>
      </c>
    </row>
    <row r="95" spans="14:54" x14ac:dyDescent="0.25">
      <c r="N95" s="3"/>
      <c r="BB95" s="2">
        <f t="shared" si="4"/>
        <v>58</v>
      </c>
    </row>
    <row r="96" spans="14:54" x14ac:dyDescent="0.25">
      <c r="N96" s="3"/>
      <c r="BB96" s="2">
        <f t="shared" si="4"/>
        <v>58</v>
      </c>
    </row>
    <row r="97" spans="14:54" x14ac:dyDescent="0.25">
      <c r="N97" s="3"/>
      <c r="BB97" s="2">
        <f t="shared" si="4"/>
        <v>58</v>
      </c>
    </row>
    <row r="98" spans="14:54" x14ac:dyDescent="0.25">
      <c r="N98" s="3"/>
      <c r="BB98" s="2">
        <f t="shared" si="4"/>
        <v>59</v>
      </c>
    </row>
    <row r="99" spans="14:54" x14ac:dyDescent="0.25">
      <c r="N99" s="3"/>
      <c r="BB99" s="2">
        <f t="shared" si="4"/>
        <v>62</v>
      </c>
    </row>
    <row r="100" spans="14:54" x14ac:dyDescent="0.25">
      <c r="N100" s="3"/>
      <c r="BB100" s="2">
        <f t="shared" si="4"/>
        <v>63</v>
      </c>
    </row>
    <row r="101" spans="14:54" x14ac:dyDescent="0.25">
      <c r="N101" s="3"/>
      <c r="BB101" s="2">
        <f t="shared" si="4"/>
        <v>63</v>
      </c>
    </row>
    <row r="102" spans="14:54" x14ac:dyDescent="0.25">
      <c r="N102" s="3"/>
      <c r="BB102" s="2" t="str">
        <f t="shared" si="4"/>
        <v/>
      </c>
    </row>
    <row r="103" spans="14:54" x14ac:dyDescent="0.25">
      <c r="N103" s="3"/>
      <c r="BB103" s="2" t="str">
        <f t="shared" si="4"/>
        <v/>
      </c>
    </row>
    <row r="104" spans="14:54" x14ac:dyDescent="0.25">
      <c r="N104" s="3"/>
      <c r="BB104" s="2" t="str">
        <f t="shared" si="4"/>
        <v/>
      </c>
    </row>
    <row r="105" spans="14:54" x14ac:dyDescent="0.25">
      <c r="N105" s="3"/>
      <c r="BB105" s="2" t="str">
        <f t="shared" si="4"/>
        <v/>
      </c>
    </row>
    <row r="106" spans="14:54" x14ac:dyDescent="0.25">
      <c r="N106" s="3"/>
      <c r="BB106" s="2" t="str">
        <f t="shared" si="4"/>
        <v/>
      </c>
    </row>
    <row r="107" spans="14:54" x14ac:dyDescent="0.25">
      <c r="N107" s="3"/>
      <c r="BB107" s="2" t="str">
        <f t="shared" si="4"/>
        <v/>
      </c>
    </row>
    <row r="108" spans="14:54" x14ac:dyDescent="0.25">
      <c r="N108" s="3"/>
      <c r="BB108" s="2" t="str">
        <f t="shared" si="4"/>
        <v/>
      </c>
    </row>
    <row r="109" spans="14:54" x14ac:dyDescent="0.25">
      <c r="N109" s="3"/>
      <c r="BB109" s="2" t="str">
        <f t="shared" si="4"/>
        <v/>
      </c>
    </row>
    <row r="110" spans="14:54" x14ac:dyDescent="0.25">
      <c r="N110" s="3"/>
      <c r="BB110" s="2" t="str">
        <f t="shared" si="4"/>
        <v/>
      </c>
    </row>
    <row r="111" spans="14:54" x14ac:dyDescent="0.25">
      <c r="N111" s="3"/>
      <c r="BB111" s="2" t="str">
        <f t="shared" si="4"/>
        <v/>
      </c>
    </row>
    <row r="112" spans="14:54" x14ac:dyDescent="0.25">
      <c r="N112" s="3"/>
      <c r="BB112" s="2" t="str">
        <f t="shared" si="4"/>
        <v/>
      </c>
    </row>
    <row r="113" spans="14:54" x14ac:dyDescent="0.25">
      <c r="N113" s="3"/>
      <c r="BB113" s="2" t="str">
        <f t="shared" si="4"/>
        <v/>
      </c>
    </row>
    <row r="114" spans="14:54" x14ac:dyDescent="0.25">
      <c r="N114" s="3"/>
      <c r="BB114" s="2" t="str">
        <f t="shared" si="4"/>
        <v/>
      </c>
    </row>
    <row r="115" spans="14:54" x14ac:dyDescent="0.25">
      <c r="N115" s="3"/>
      <c r="BB115" s="2" t="str">
        <f t="shared" si="4"/>
        <v/>
      </c>
    </row>
    <row r="116" spans="14:54" x14ac:dyDescent="0.25">
      <c r="N116" s="3"/>
      <c r="BB116" s="2" t="str">
        <f t="shared" si="4"/>
        <v/>
      </c>
    </row>
    <row r="117" spans="14:54" x14ac:dyDescent="0.25">
      <c r="N117" s="3"/>
      <c r="BB117" s="2" t="str">
        <f t="shared" si="4"/>
        <v/>
      </c>
    </row>
    <row r="118" spans="14:54" x14ac:dyDescent="0.25">
      <c r="N118" s="3"/>
      <c r="BB118" s="2" t="str">
        <f t="shared" si="4"/>
        <v/>
      </c>
    </row>
    <row r="119" spans="14:54" x14ac:dyDescent="0.25">
      <c r="N119" s="3"/>
      <c r="BB119" s="2" t="str">
        <f t="shared" si="4"/>
        <v/>
      </c>
    </row>
    <row r="120" spans="14:54" x14ac:dyDescent="0.25">
      <c r="N120" s="3"/>
      <c r="BB120" s="2" t="str">
        <f t="shared" si="4"/>
        <v/>
      </c>
    </row>
    <row r="121" spans="14:54" x14ac:dyDescent="0.25">
      <c r="N121" s="3"/>
      <c r="BB121" s="2" t="str">
        <f t="shared" si="4"/>
        <v/>
      </c>
    </row>
    <row r="122" spans="14:54" x14ac:dyDescent="0.25">
      <c r="N122" s="3"/>
      <c r="BB122" s="2" t="str">
        <f t="shared" si="4"/>
        <v/>
      </c>
    </row>
    <row r="123" spans="14:54" x14ac:dyDescent="0.25">
      <c r="N123" s="3"/>
      <c r="BB123" s="2" t="str">
        <f t="shared" si="4"/>
        <v/>
      </c>
    </row>
    <row r="124" spans="14:54" x14ac:dyDescent="0.25">
      <c r="N124" s="3"/>
      <c r="BB124" s="2" t="str">
        <f t="shared" si="4"/>
        <v/>
      </c>
    </row>
    <row r="125" spans="14:54" x14ac:dyDescent="0.25">
      <c r="N125" s="3"/>
      <c r="BB125" s="2" t="str">
        <f t="shared" si="4"/>
        <v/>
      </c>
    </row>
    <row r="126" spans="14:54" x14ac:dyDescent="0.25">
      <c r="N126" s="3"/>
      <c r="BB126" s="2" t="str">
        <f t="shared" si="4"/>
        <v/>
      </c>
    </row>
    <row r="127" spans="14:54" x14ac:dyDescent="0.25">
      <c r="N127" s="3"/>
      <c r="BB127" s="2" t="str">
        <f t="shared" si="4"/>
        <v/>
      </c>
    </row>
    <row r="128" spans="14:54" x14ac:dyDescent="0.25">
      <c r="N128" s="3"/>
      <c r="BB128" s="2" t="str">
        <f t="shared" si="4"/>
        <v/>
      </c>
    </row>
    <row r="129" spans="14:54" x14ac:dyDescent="0.25">
      <c r="N129" s="3"/>
      <c r="BB129" s="2" t="str">
        <f t="shared" si="4"/>
        <v/>
      </c>
    </row>
    <row r="130" spans="14:54" x14ac:dyDescent="0.25">
      <c r="N130" s="3"/>
      <c r="BB130" s="2" t="str">
        <f t="shared" si="4"/>
        <v/>
      </c>
    </row>
    <row r="131" spans="14:54" x14ac:dyDescent="0.25">
      <c r="N131" s="3"/>
      <c r="BB131" s="2" t="str">
        <f t="shared" ref="BB131:BB139" si="5">IFERROR(SMALL($A$1:$J$10, ROW(A130)), "")</f>
        <v/>
      </c>
    </row>
    <row r="132" spans="14:54" x14ac:dyDescent="0.25">
      <c r="N132" s="3"/>
      <c r="BB132" s="2" t="str">
        <f t="shared" si="5"/>
        <v/>
      </c>
    </row>
    <row r="133" spans="14:54" x14ac:dyDescent="0.25">
      <c r="N133" s="3"/>
      <c r="BB133" s="2" t="str">
        <f t="shared" si="5"/>
        <v/>
      </c>
    </row>
    <row r="134" spans="14:54" x14ac:dyDescent="0.25">
      <c r="N134" s="3"/>
      <c r="BB134" s="2" t="str">
        <f t="shared" si="5"/>
        <v/>
      </c>
    </row>
    <row r="135" spans="14:54" x14ac:dyDescent="0.25">
      <c r="N135" s="3"/>
      <c r="BB135" s="2" t="str">
        <f t="shared" si="5"/>
        <v/>
      </c>
    </row>
    <row r="136" spans="14:54" x14ac:dyDescent="0.25">
      <c r="N136" s="3"/>
      <c r="BB136" s="2" t="str">
        <f t="shared" si="5"/>
        <v/>
      </c>
    </row>
    <row r="137" spans="14:54" x14ac:dyDescent="0.25">
      <c r="N137" s="3"/>
      <c r="BB137" s="2" t="str">
        <f t="shared" si="5"/>
        <v/>
      </c>
    </row>
    <row r="138" spans="14:54" x14ac:dyDescent="0.25">
      <c r="N138" s="3"/>
      <c r="BB138" s="2" t="str">
        <f t="shared" si="5"/>
        <v/>
      </c>
    </row>
    <row r="139" spans="14:54" x14ac:dyDescent="0.25">
      <c r="N139" s="3"/>
      <c r="BB139" s="2" t="str">
        <f t="shared" si="5"/>
        <v/>
      </c>
    </row>
    <row r="140" spans="14:54" x14ac:dyDescent="0.25">
      <c r="N140" s="3"/>
    </row>
    <row r="141" spans="14:54" x14ac:dyDescent="0.25">
      <c r="N141" s="3"/>
    </row>
    <row r="142" spans="14:54" x14ac:dyDescent="0.25">
      <c r="N142" s="3"/>
    </row>
    <row r="143" spans="14:54" x14ac:dyDescent="0.25">
      <c r="N143" s="3"/>
    </row>
    <row r="144" spans="14:54" x14ac:dyDescent="0.25">
      <c r="N144" s="3"/>
    </row>
    <row r="145" spans="12:14" x14ac:dyDescent="0.25">
      <c r="N145" s="3"/>
    </row>
    <row r="146" spans="12:14" x14ac:dyDescent="0.25">
      <c r="N146" s="3"/>
    </row>
    <row r="147" spans="12:14" x14ac:dyDescent="0.25">
      <c r="N147" s="3"/>
    </row>
    <row r="148" spans="12:14" x14ac:dyDescent="0.25">
      <c r="N148" s="3"/>
    </row>
    <row r="149" spans="12:14" x14ac:dyDescent="0.25">
      <c r="N149" s="3"/>
    </row>
    <row r="150" spans="12:14" x14ac:dyDescent="0.25">
      <c r="N150" s="3"/>
    </row>
    <row r="151" spans="12:14" x14ac:dyDescent="0.25">
      <c r="N151" s="3"/>
    </row>
    <row r="152" spans="12:14" x14ac:dyDescent="0.25">
      <c r="N152" s="3"/>
    </row>
    <row r="153" spans="12:14" x14ac:dyDescent="0.25">
      <c r="N153" s="3"/>
    </row>
    <row r="154" spans="12:14" x14ac:dyDescent="0.25">
      <c r="L154" s="2" t="str">
        <f>IF(BB154="","",IF(COUNTIF($L$1:L153, BB154)=0, BB154, ""))</f>
        <v/>
      </c>
    </row>
    <row r="155" spans="12:14" x14ac:dyDescent="0.25">
      <c r="L155" s="2" t="str">
        <f>IF(BB155="","",IF(COUNTIF($L$1:L154, BB155)=0, BB155, ""))</f>
        <v/>
      </c>
    </row>
    <row r="156" spans="12:14" x14ac:dyDescent="0.25">
      <c r="L156" s="2" t="str">
        <f>IF(BB156="","",IF(COUNTIF($L$1:L155, BB156)=0, BB156, ""))</f>
        <v/>
      </c>
    </row>
    <row r="157" spans="12:14" x14ac:dyDescent="0.25">
      <c r="L157" s="2" t="str">
        <f>IF(BB157="","",IF(COUNTIF($L$1:L156, BB157)=0, BB157, ""))</f>
        <v/>
      </c>
    </row>
    <row r="158" spans="12:14" x14ac:dyDescent="0.25">
      <c r="L158" s="2" t="str">
        <f>IF(BB158="","",IF(COUNTIF($L$1:L157, BB158)=0, BB158, ""))</f>
        <v/>
      </c>
    </row>
    <row r="159" spans="12:14" x14ac:dyDescent="0.25">
      <c r="L159" s="2" t="str">
        <f>IF(BB159="","",IF(COUNTIF($L$1:L158, BB159)=0, BB159, ""))</f>
        <v/>
      </c>
    </row>
    <row r="160" spans="12:14" x14ac:dyDescent="0.25">
      <c r="L160" s="2" t="str">
        <f>IF(BB160="","",IF(COUNTIF($L$1:L159, BB160)=0, BB160, ""))</f>
        <v/>
      </c>
    </row>
    <row r="161" spans="12:12" x14ac:dyDescent="0.25">
      <c r="L161" s="2" t="str">
        <f>IF(BB161="","",IF(COUNTIF($L$1:L160, BB161)=0, BB161, ""))</f>
        <v/>
      </c>
    </row>
    <row r="162" spans="12:12" x14ac:dyDescent="0.25">
      <c r="L162" s="2" t="str">
        <f>IF(BB162="","",IF(COUNTIF($L$1:L161, BB162)=0, BB162, ""))</f>
        <v/>
      </c>
    </row>
    <row r="163" spans="12:12" x14ac:dyDescent="0.25">
      <c r="L163" s="2" t="str">
        <f>IF(BB163="","",IF(COUNTIF($L$1:L162, BB163)=0, BB163, ""))</f>
        <v/>
      </c>
    </row>
    <row r="164" spans="12:12" x14ac:dyDescent="0.25">
      <c r="L164" s="2" t="str">
        <f>IF(BB164="","",IF(COUNTIF($L$1:L163, BB164)=0, BB164, ""))</f>
        <v/>
      </c>
    </row>
    <row r="165" spans="12:12" x14ac:dyDescent="0.25">
      <c r="L165" s="2" t="str">
        <f>IF(BB165="","",IF(COUNTIF($L$1:L164, BB165)=0, BB165, ""))</f>
        <v/>
      </c>
    </row>
    <row r="166" spans="12:12" x14ac:dyDescent="0.25">
      <c r="L166" s="2" t="str">
        <f>IF(BB166="","",IF(COUNTIF($L$1:L165, BB166)=0, BB166, ""))</f>
        <v/>
      </c>
    </row>
    <row r="167" spans="12:12" x14ac:dyDescent="0.25">
      <c r="L167" s="2" t="str">
        <f>IF(BB167="","",IF(COUNTIF($L$1:L166, BB167)=0, BB167, ""))</f>
        <v/>
      </c>
    </row>
    <row r="168" spans="12:12" x14ac:dyDescent="0.25">
      <c r="L168" s="2" t="str">
        <f>IF(BB168="","",IF(COUNTIF($L$1:L167, BB168)=0, BB168, ""))</f>
        <v/>
      </c>
    </row>
    <row r="169" spans="12:12" x14ac:dyDescent="0.25">
      <c r="L169" s="2" t="str">
        <f>IF(BB169="","",IF(COUNTIF($L$1:L168, BB169)=0, BB169, ""))</f>
        <v/>
      </c>
    </row>
    <row r="170" spans="12:12" x14ac:dyDescent="0.25">
      <c r="L170" s="2" t="str">
        <f>IF(BB170="","",IF(COUNTIF($L$1:L169, BB170)=0, BB170, ""))</f>
        <v/>
      </c>
    </row>
    <row r="171" spans="12:12" x14ac:dyDescent="0.25">
      <c r="L171" s="2" t="str">
        <f>IF(BB171="","",IF(COUNTIF($L$1:L170, BB171)=0, BB171, ""))</f>
        <v/>
      </c>
    </row>
    <row r="172" spans="12:12" x14ac:dyDescent="0.25">
      <c r="L172" s="2" t="str">
        <f>IF(BB172="","",IF(COUNTIF($L$1:L171, BB172)=0, BB172, ""))</f>
        <v/>
      </c>
    </row>
    <row r="173" spans="12:12" x14ac:dyDescent="0.25">
      <c r="L173" s="2" t="str">
        <f>IF(BB173="","",IF(COUNTIF($L$1:L172, BB173)=0, BB173, ""))</f>
        <v/>
      </c>
    </row>
    <row r="174" spans="12:12" x14ac:dyDescent="0.25">
      <c r="L174" s="2" t="str">
        <f>IF(BB174="","",IF(COUNTIF($L$1:L173, BB174)=0, BB174, ""))</f>
        <v/>
      </c>
    </row>
    <row r="175" spans="12:12" x14ac:dyDescent="0.25">
      <c r="L175" s="2" t="str">
        <f>IF(BB175="","",IF(COUNTIF($L$1:L174, BB175)=0, BB175, ""))</f>
        <v/>
      </c>
    </row>
    <row r="176" spans="12:12" x14ac:dyDescent="0.25">
      <c r="L176" s="2" t="str">
        <f>IF(BB176="","",IF(COUNTIF($L$1:L175, BB176)=0, BB176, ""))</f>
        <v/>
      </c>
    </row>
    <row r="177" spans="12:12" x14ac:dyDescent="0.25">
      <c r="L177" s="2" t="str">
        <f>IF(BB177="","",IF(COUNTIF($L$1:L176, BB177)=0, BB177, ""))</f>
        <v/>
      </c>
    </row>
    <row r="178" spans="12:12" x14ac:dyDescent="0.25">
      <c r="L178" s="2" t="str">
        <f>IF(BB178="","",IF(COUNTIF($L$1:L177, BB178)=0, BB178, ""))</f>
        <v/>
      </c>
    </row>
    <row r="179" spans="12:12" x14ac:dyDescent="0.25">
      <c r="L179" s="2" t="str">
        <f>IF(BB179="","",IF(COUNTIF($L$1:L178, BB179)=0, BB179, ""))</f>
        <v/>
      </c>
    </row>
    <row r="180" spans="12:12" x14ac:dyDescent="0.25">
      <c r="L180" s="2" t="str">
        <f>IF(BB180="","",IF(COUNTIF($L$1:L179, BB180)=0, BB180, ""))</f>
        <v/>
      </c>
    </row>
    <row r="181" spans="12:12" x14ac:dyDescent="0.25">
      <c r="L181" s="2" t="str">
        <f>IF(BB181="","",IF(COUNTIF($L$1:L180, BB181)=0, BB181, ""))</f>
        <v/>
      </c>
    </row>
    <row r="182" spans="12:12" x14ac:dyDescent="0.25">
      <c r="L182" s="2" t="str">
        <f>IF(BB182="","",IF(COUNTIF($L$1:L181, BB182)=0, BB182, ""))</f>
        <v/>
      </c>
    </row>
    <row r="183" spans="12:12" x14ac:dyDescent="0.25">
      <c r="L183" s="2" t="str">
        <f>IF(BB183="","",IF(COUNTIF($L$1:L182, BB183)=0, BB183, ""))</f>
        <v/>
      </c>
    </row>
    <row r="184" spans="12:12" x14ac:dyDescent="0.25">
      <c r="L184" s="2" t="str">
        <f>IF(BB184="","",IF(COUNTIF($L$1:L183, BB184)=0, BB184, ""))</f>
        <v/>
      </c>
    </row>
    <row r="185" spans="12:12" x14ac:dyDescent="0.25">
      <c r="L185" s="2" t="str">
        <f>IF(BB185="","",IF(COUNTIF($L$1:L184, BB185)=0, BB185, ""))</f>
        <v/>
      </c>
    </row>
    <row r="186" spans="12:12" x14ac:dyDescent="0.25">
      <c r="L186" s="2" t="str">
        <f>IF(BB186="","",IF(COUNTIF($L$1:L185, BB186)=0, BB186, ""))</f>
        <v/>
      </c>
    </row>
    <row r="187" spans="12:12" x14ac:dyDescent="0.25">
      <c r="L187" s="2" t="str">
        <f>IF(BB187="","",IF(COUNTIF($L$1:L186, BB187)=0, BB187, ""))</f>
        <v/>
      </c>
    </row>
    <row r="188" spans="12:12" x14ac:dyDescent="0.25">
      <c r="L188" s="2" t="str">
        <f>IF(BB188="","",IF(COUNTIF($L$1:L187, BB188)=0, BB188, ""))</f>
        <v/>
      </c>
    </row>
    <row r="189" spans="12:12" x14ac:dyDescent="0.25">
      <c r="L189" s="2" t="str">
        <f>IF(BB189="","",IF(COUNTIF($L$1:L188, BB189)=0, BB189, ""))</f>
        <v/>
      </c>
    </row>
    <row r="190" spans="12:12" x14ac:dyDescent="0.25">
      <c r="L190" s="2" t="str">
        <f>IF(BB190="","",IF(COUNTIF($L$1:L189, BB190)=0, BB190, ""))</f>
        <v/>
      </c>
    </row>
    <row r="191" spans="12:12" x14ac:dyDescent="0.25">
      <c r="L191" s="2" t="str">
        <f>IF(BB191="","",IF(COUNTIF($L$1:L190, BB191)=0, BB191, ""))</f>
        <v/>
      </c>
    </row>
    <row r="192" spans="12:12" x14ac:dyDescent="0.25">
      <c r="L192" s="2" t="str">
        <f>IF(BB192="","",IF(COUNTIF($L$1:L191, BB192)=0, BB192, ""))</f>
        <v/>
      </c>
    </row>
    <row r="193" spans="12:12" x14ac:dyDescent="0.25">
      <c r="L193" s="2" t="str">
        <f>IF(BB193="","",IF(COUNTIF($L$1:L192, BB193)=0, BB193, ""))</f>
        <v/>
      </c>
    </row>
    <row r="194" spans="12:12" x14ac:dyDescent="0.25">
      <c r="L194" s="2" t="str">
        <f>IF(BB194="","",IF(COUNTIF($L$1:L193, BB194)=0, BB194, ""))</f>
        <v/>
      </c>
    </row>
    <row r="195" spans="12:12" x14ac:dyDescent="0.25">
      <c r="L195" s="2" t="str">
        <f>IF(BB195="","",IF(COUNTIF($L$1:L194, BB195)=0, BB195, ""))</f>
        <v/>
      </c>
    </row>
    <row r="196" spans="12:12" x14ac:dyDescent="0.25">
      <c r="L196" s="2" t="str">
        <f>IF(BB196="","",IF(COUNTIF($L$1:L195, BB196)=0, BB196, ""))</f>
        <v/>
      </c>
    </row>
    <row r="197" spans="12:12" x14ac:dyDescent="0.25">
      <c r="L197" s="2" t="str">
        <f>IF(BB197="","",IF(COUNTIF($L$1:L196, BB197)=0, BB197, ""))</f>
        <v/>
      </c>
    </row>
    <row r="198" spans="12:12" x14ac:dyDescent="0.25">
      <c r="L198" s="2" t="str">
        <f>IF(BB198="","",IF(COUNTIF($L$1:L197, BB198)=0, BB198, ""))</f>
        <v/>
      </c>
    </row>
    <row r="199" spans="12:12" x14ac:dyDescent="0.25">
      <c r="L199" s="2" t="str">
        <f>IF(BB199="","",IF(COUNTIF($L$1:L198, BB199)=0, BB199, ""))</f>
        <v/>
      </c>
    </row>
    <row r="200" spans="12:12" x14ac:dyDescent="0.25">
      <c r="L200" s="2" t="str">
        <f>IF(BB200="","",IF(COUNTIF($L$1:L199, BB200)=0, BB200, ""))</f>
        <v/>
      </c>
    </row>
    <row r="201" spans="12:12" x14ac:dyDescent="0.25">
      <c r="L201" s="2" t="str">
        <f t="shared" ref="L201:L235" si="6">IFERROR(SMALL($A$1:$J$10, ROW(A200)),"")</f>
        <v/>
      </c>
    </row>
    <row r="202" spans="12:12" x14ac:dyDescent="0.25">
      <c r="L202" s="2" t="str">
        <f t="shared" si="6"/>
        <v/>
      </c>
    </row>
    <row r="203" spans="12:12" x14ac:dyDescent="0.25">
      <c r="L203" s="2" t="str">
        <f t="shared" si="6"/>
        <v/>
      </c>
    </row>
    <row r="204" spans="12:12" x14ac:dyDescent="0.25">
      <c r="L204" s="2" t="str">
        <f t="shared" si="6"/>
        <v/>
      </c>
    </row>
    <row r="205" spans="12:12" x14ac:dyDescent="0.25">
      <c r="L205" s="2" t="str">
        <f t="shared" si="6"/>
        <v/>
      </c>
    </row>
    <row r="206" spans="12:12" x14ac:dyDescent="0.25">
      <c r="L206" s="2" t="str">
        <f t="shared" si="6"/>
        <v/>
      </c>
    </row>
    <row r="207" spans="12:12" x14ac:dyDescent="0.25">
      <c r="L207" s="2" t="str">
        <f t="shared" si="6"/>
        <v/>
      </c>
    </row>
    <row r="208" spans="12:12" x14ac:dyDescent="0.25">
      <c r="L208" s="2" t="str">
        <f t="shared" si="6"/>
        <v/>
      </c>
    </row>
    <row r="209" spans="12:12" x14ac:dyDescent="0.25">
      <c r="L209" s="2" t="str">
        <f t="shared" si="6"/>
        <v/>
      </c>
    </row>
    <row r="210" spans="12:12" x14ac:dyDescent="0.25">
      <c r="L210" s="2" t="str">
        <f t="shared" si="6"/>
        <v/>
      </c>
    </row>
    <row r="211" spans="12:12" x14ac:dyDescent="0.25">
      <c r="L211" s="2" t="str">
        <f t="shared" si="6"/>
        <v/>
      </c>
    </row>
    <row r="212" spans="12:12" x14ac:dyDescent="0.25">
      <c r="L212" s="2" t="str">
        <f t="shared" si="6"/>
        <v/>
      </c>
    </row>
    <row r="213" spans="12:12" x14ac:dyDescent="0.25">
      <c r="L213" s="2" t="str">
        <f t="shared" si="6"/>
        <v/>
      </c>
    </row>
    <row r="214" spans="12:12" x14ac:dyDescent="0.25">
      <c r="L214" s="2" t="str">
        <f t="shared" si="6"/>
        <v/>
      </c>
    </row>
    <row r="215" spans="12:12" x14ac:dyDescent="0.25">
      <c r="L215" s="2" t="str">
        <f t="shared" si="6"/>
        <v/>
      </c>
    </row>
    <row r="216" spans="12:12" x14ac:dyDescent="0.25">
      <c r="L216" s="2" t="str">
        <f t="shared" si="6"/>
        <v/>
      </c>
    </row>
    <row r="217" spans="12:12" x14ac:dyDescent="0.25">
      <c r="L217" s="2" t="str">
        <f t="shared" si="6"/>
        <v/>
      </c>
    </row>
    <row r="218" spans="12:12" x14ac:dyDescent="0.25">
      <c r="L218" s="2" t="str">
        <f t="shared" si="6"/>
        <v/>
      </c>
    </row>
    <row r="219" spans="12:12" x14ac:dyDescent="0.25">
      <c r="L219" s="2" t="str">
        <f t="shared" si="6"/>
        <v/>
      </c>
    </row>
    <row r="220" spans="12:12" x14ac:dyDescent="0.25">
      <c r="L220" s="2" t="str">
        <f t="shared" si="6"/>
        <v/>
      </c>
    </row>
    <row r="221" spans="12:12" x14ac:dyDescent="0.25">
      <c r="L221" s="2" t="str">
        <f t="shared" si="6"/>
        <v/>
      </c>
    </row>
    <row r="222" spans="12:12" x14ac:dyDescent="0.25">
      <c r="L222" s="2" t="str">
        <f t="shared" si="6"/>
        <v/>
      </c>
    </row>
    <row r="223" spans="12:12" x14ac:dyDescent="0.25">
      <c r="L223" s="2" t="str">
        <f t="shared" si="6"/>
        <v/>
      </c>
    </row>
    <row r="224" spans="12:12" x14ac:dyDescent="0.25">
      <c r="L224" s="2" t="str">
        <f t="shared" si="6"/>
        <v/>
      </c>
    </row>
    <row r="225" spans="12:12" x14ac:dyDescent="0.25">
      <c r="L225" s="2" t="str">
        <f t="shared" si="6"/>
        <v/>
      </c>
    </row>
    <row r="226" spans="12:12" x14ac:dyDescent="0.25">
      <c r="L226" s="2" t="str">
        <f t="shared" si="6"/>
        <v/>
      </c>
    </row>
    <row r="227" spans="12:12" x14ac:dyDescent="0.25">
      <c r="L227" s="2" t="str">
        <f t="shared" si="6"/>
        <v/>
      </c>
    </row>
    <row r="228" spans="12:12" x14ac:dyDescent="0.25">
      <c r="L228" s="2" t="str">
        <f t="shared" si="6"/>
        <v/>
      </c>
    </row>
    <row r="229" spans="12:12" x14ac:dyDescent="0.25">
      <c r="L229" s="2" t="str">
        <f t="shared" si="6"/>
        <v/>
      </c>
    </row>
    <row r="230" spans="12:12" x14ac:dyDescent="0.25">
      <c r="L230" s="2" t="str">
        <f t="shared" si="6"/>
        <v/>
      </c>
    </row>
    <row r="231" spans="12:12" x14ac:dyDescent="0.25">
      <c r="L231" s="2" t="str">
        <f t="shared" si="6"/>
        <v/>
      </c>
    </row>
    <row r="232" spans="12:12" x14ac:dyDescent="0.25">
      <c r="L232" s="2" t="str">
        <f t="shared" si="6"/>
        <v/>
      </c>
    </row>
    <row r="233" spans="12:12" x14ac:dyDescent="0.25">
      <c r="L233" s="2" t="str">
        <f t="shared" si="6"/>
        <v/>
      </c>
    </row>
    <row r="234" spans="12:12" x14ac:dyDescent="0.25">
      <c r="L234" s="2" t="str">
        <f t="shared" si="6"/>
        <v/>
      </c>
    </row>
    <row r="235" spans="12:12" x14ac:dyDescent="0.25">
      <c r="L235" s="2" t="str">
        <f t="shared" si="6"/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Matriks 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2026-02-10T07:56:52Z</dcterms:created>
  <dcterms:modified xsi:type="dcterms:W3CDTF">2026-04-07T02:17:19Z</dcterms:modified>
</cp:coreProperties>
</file>